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 Waterfall" sheetId="2" state="visible" r:id="rId2"/>
    <sheet xmlns:r="http://schemas.openxmlformats.org/officeDocument/2006/relationships" name="Cost Structure &amp; PnL" sheetId="3" state="visible" r:id="rId3"/>
    <sheet xmlns:r="http://schemas.openxmlformats.org/officeDocument/2006/relationships" name="Cash Flow Projection" sheetId="4" state="visible" r:id="rId4"/>
    <sheet xmlns:r="http://schemas.openxmlformats.org/officeDocument/2006/relationships" name="IRR &amp; DSCR Analysis" sheetId="5" state="visible" r:id="rId5"/>
    <sheet xmlns:r="http://schemas.openxmlformats.org/officeDocument/2006/relationships" name="Stage-Gate Budget" sheetId="6" state="visible" r:id="rId6"/>
    <sheet xmlns:r="http://schemas.openxmlformats.org/officeDocument/2006/relationships" name="CAC &amp; Marketing Analysis" sheetId="7" state="visible" r:id="rId7"/>
    <sheet xmlns:r="http://schemas.openxmlformats.org/officeDocument/2006/relationships" name="Sensitivity Analysis" sheetId="8" state="visible" r:id="rId8"/>
    <sheet xmlns:r="http://schemas.openxmlformats.org/officeDocument/2006/relationships" name="Risk Mitigation" sheetId="9" state="visible" r:id="rId9"/>
    <sheet xmlns:r="http://schemas.openxmlformats.org/officeDocument/2006/relationships" name="Anarock Fee Structu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#,##0.00&quot;x&quot;"/>
    <numFmt numFmtId="167" formatCode="#,##0.0&quot;x&quot;"/>
    <numFmt numFmtId="168" formatCode="0.000%"/>
  </numFmts>
  <fonts count="15">
    <font>
      <name val="Calibri"/>
      <family val="2"/>
      <color theme="1"/>
      <sz val="11"/>
      <scheme val="minor"/>
    </font>
    <font>
      <name val="Calibri"/>
      <b val="1"/>
      <color rgb="00C3002F"/>
      <sz val="16"/>
    </font>
    <font>
      <name val="Calibri"/>
      <i val="1"/>
      <color rgb="0064748B"/>
      <sz val="10"/>
    </font>
    <font>
      <name val="Calibri"/>
      <b val="1"/>
      <color rgb="00C3002F"/>
      <sz val="12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E293B"/>
      <sz val="10"/>
    </font>
    <font>
      <name val="Calibri"/>
      <b val="1"/>
      <color rgb="00B8860B"/>
      <sz val="10"/>
    </font>
    <font>
      <name val="Calibri"/>
      <b val="1"/>
      <color rgb="001E293B"/>
      <sz val="11"/>
    </font>
    <font>
      <name val="Calibri"/>
      <b val="1"/>
      <color rgb="00C3002F"/>
      <sz val="13"/>
    </font>
    <font>
      <name val="Calibri"/>
      <color rgb="001E293B"/>
      <sz val="9"/>
    </font>
    <font>
      <name val="Calibri"/>
      <b val="1"/>
      <color rgb="007C3AED"/>
      <sz val="12"/>
    </font>
    <font>
      <name val="Calibri"/>
      <b val="1"/>
      <color rgb="00DC2626"/>
    </font>
    <font>
      <name val="Calibri"/>
      <b val="1"/>
      <color rgb="00D97706"/>
    </font>
    <font>
      <name val="Calibri"/>
      <b val="1"/>
      <color rgb="00059669"/>
    </font>
  </fonts>
  <fills count="17">
    <fill>
      <patternFill/>
    </fill>
    <fill>
      <patternFill patternType="gray125"/>
    </fill>
    <fill>
      <patternFill patternType="solid">
        <fgColor rgb="00F8F9FA"/>
        <bgColor rgb="00F8F9FA"/>
      </patternFill>
    </fill>
    <fill>
      <patternFill patternType="solid">
        <fgColor rgb="00C3002F"/>
        <bgColor rgb="00C3002F"/>
      </patternFill>
    </fill>
    <fill>
      <patternFill patternType="solid">
        <fgColor rgb="00FFF8E1"/>
        <bgColor rgb="00FFF8E1"/>
      </patternFill>
    </fill>
    <fill>
      <patternFill patternType="solid">
        <fgColor rgb="00059669"/>
        <bgColor rgb="00059669"/>
      </patternFill>
    </fill>
    <fill>
      <patternFill patternType="solid">
        <fgColor rgb="00D1FAE5"/>
        <bgColor rgb="00D1FAE5"/>
      </patternFill>
    </fill>
    <fill>
      <patternFill patternType="solid">
        <fgColor rgb="00B8860B"/>
        <bgColor rgb="00B8860B"/>
      </patternFill>
    </fill>
    <fill>
      <patternFill patternType="solid">
        <fgColor rgb="000086C3"/>
        <bgColor rgb="000086C3"/>
      </patternFill>
    </fill>
    <fill>
      <patternFill patternType="solid">
        <fgColor rgb="00111522"/>
        <bgColor rgb="00111522"/>
      </patternFill>
    </fill>
    <fill>
      <patternFill patternType="solid">
        <fgColor rgb="00E0F7FA"/>
        <bgColor rgb="00E0F7FA"/>
      </patternFill>
    </fill>
    <fill>
      <patternFill patternType="solid">
        <fgColor rgb="00D97706"/>
        <bgColor rgb="00D97706"/>
      </patternFill>
    </fill>
    <fill>
      <patternFill patternType="solid">
        <fgColor rgb="007C3AED"/>
        <bgColor rgb="007C3AED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F4444"/>
        <bgColor rgb="00EF4444"/>
      </patternFill>
    </fill>
    <fill>
      <patternFill patternType="solid">
        <fgColor rgb="00FFCCDD"/>
        <bgColor rgb="00FFCCD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0" pivotButton="0" quotePrefix="0" xfId="0"/>
    <xf numFmtId="4" fontId="5" fillId="0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left" vertical="center" wrapText="1"/>
    </xf>
    <xf numFmtId="4" fontId="8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 wrapText="1"/>
    </xf>
    <xf numFmtId="4" fontId="6" fillId="4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right" vertical="center" wrapText="1"/>
    </xf>
    <xf numFmtId="0" fontId="9" fillId="0" borderId="0" pivotButton="0" quotePrefix="0" xfId="0"/>
    <xf numFmtId="165" fontId="5" fillId="0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right" vertical="center" wrapText="1"/>
    </xf>
    <xf numFmtId="0" fontId="8" fillId="4" borderId="0" pivotButton="0" quotePrefix="0" xfId="0"/>
    <xf numFmtId="164" fontId="8" fillId="6" borderId="1" applyAlignment="1" pivotButton="0" quotePrefix="0" xfId="0">
      <alignment horizontal="right" vertical="center" wrapText="1"/>
    </xf>
    <xf numFmtId="0" fontId="8" fillId="6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164" fontId="5" fillId="2" borderId="1" applyAlignment="1" pivotButton="0" quotePrefix="0" xfId="0">
      <alignment horizontal="right" vertical="center" wrapText="1"/>
    </xf>
    <xf numFmtId="3" fontId="5" fillId="2" borderId="1" applyAlignment="1" pivotButton="0" quotePrefix="0" xfId="0">
      <alignment horizontal="right" vertical="center" wrapText="1"/>
    </xf>
    <xf numFmtId="165" fontId="5" fillId="2" borderId="1" applyAlignment="1" pivotButton="0" quotePrefix="0" xfId="0">
      <alignment horizontal="right" vertical="center" wrapText="1"/>
    </xf>
    <xf numFmtId="4" fontId="5" fillId="2" borderId="1" applyAlignment="1" pivotButton="0" quotePrefix="0" xfId="0">
      <alignment horizontal="right" vertical="center" wrapText="1"/>
    </xf>
    <xf numFmtId="3" fontId="8" fillId="4" borderId="1" applyAlignment="1" pivotButton="0" quotePrefix="0" xfId="0">
      <alignment horizontal="right" vertical="center" wrapText="1"/>
    </xf>
    <xf numFmtId="165" fontId="8" fillId="4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5" fillId="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0" borderId="0" pivotButton="0" quotePrefix="0" xfId="0"/>
    <xf numFmtId="0" fontId="0" fillId="10" borderId="1" pivotButton="0" quotePrefix="0" xfId="0"/>
    <xf numFmtId="0" fontId="0" fillId="2" borderId="1" pivotButton="0" quotePrefix="0" xfId="0"/>
    <xf numFmtId="9" fontId="5" fillId="0" borderId="1" applyAlignment="1" pivotButton="0" quotePrefix="0" xfId="0">
      <alignment horizontal="right" vertical="center" wrapText="1"/>
    </xf>
    <xf numFmtId="166" fontId="5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right" vertical="center" wrapText="1"/>
    </xf>
    <xf numFmtId="0" fontId="4" fillId="11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right" vertical="center" wrapText="1"/>
    </xf>
    <xf numFmtId="167" fontId="6" fillId="4" borderId="1" applyAlignment="1" pivotButton="0" quotePrefix="0" xfId="0">
      <alignment horizontal="right" vertical="center" wrapText="1"/>
    </xf>
    <xf numFmtId="168" fontId="5" fillId="0" borderId="1" applyAlignment="1" pivotButton="0" quotePrefix="0" xfId="0">
      <alignment horizontal="right" vertical="center" wrapText="1"/>
    </xf>
    <xf numFmtId="0" fontId="11" fillId="0" borderId="0" pivotButton="0" quotePrefix="0" xfId="0"/>
    <xf numFmtId="0" fontId="4" fillId="12" borderId="1" applyAlignment="1" pivotButton="0" quotePrefix="0" xfId="0">
      <alignment horizontal="center" vertical="center" wrapText="1"/>
    </xf>
    <xf numFmtId="2" fontId="5" fillId="13" borderId="1" applyAlignment="1" pivotButton="0" quotePrefix="0" xfId="0">
      <alignment horizontal="right" vertical="center" wrapText="1"/>
    </xf>
    <xf numFmtId="2" fontId="5" fillId="10" borderId="1" applyAlignment="1" pivotButton="0" quotePrefix="0" xfId="0">
      <alignment horizontal="right" vertical="center" wrapText="1"/>
    </xf>
    <xf numFmtId="2" fontId="5" fillId="6" borderId="1" applyAlignment="1" pivotButton="0" quotePrefix="0" xfId="0">
      <alignment horizontal="right" vertical="center" wrapText="1"/>
    </xf>
    <xf numFmtId="2" fontId="5" fillId="14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right" vertical="center" wrapText="1"/>
    </xf>
    <xf numFmtId="0" fontId="4" fillId="15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0" fillId="4" borderId="0" pivotButton="0" quotePrefix="0" xfId="0"/>
    <xf numFmtId="10" fontId="5" fillId="0" borderId="1" applyAlignment="1" pivotButton="0" quotePrefix="0" xfId="0">
      <alignment horizontal="right" vertical="center" wrapText="1"/>
    </xf>
    <xf numFmtId="0" fontId="8" fillId="16" borderId="1" applyAlignment="1" pivotButton="0" quotePrefix="0" xfId="0">
      <alignment horizontal="left" vertical="center" wrapText="1"/>
    </xf>
    <xf numFmtId="0" fontId="8" fillId="16" borderId="0" pivotButton="0" quotePrefix="0" xfId="0"/>
    <xf numFmtId="4" fontId="8" fillId="1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GTM Stage (Cr)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C3002F"/>
            </a:solidFill>
            <a:ln xmlns:a="http://schemas.openxmlformats.org/drawingml/2006/main">
              <a:prstDash val="solid"/>
            </a:ln>
          </spPr>
          <cat>
            <numRef>
              <f>'Revenue Waterfall'!$A$12:$A$18</f>
            </numRef>
          </cat>
          <val>
            <numRef>
              <f>'Revenue Waterfall'!$E$12:$E$18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Cash Flow (Cr)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Projection'!$A$5:$A$20</f>
            </numRef>
          </cat>
          <val>
            <numRef>
              <f>'Cash Flow Projection'!$J$5:$J$20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C3002F"/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3" customWidth="1" min="3" max="3"/>
    <col width="4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1" t="inlineStr">
        <is>
          <t>ANAROCK GTM Financial Model -- Meda East Winds</t>
        </is>
      </c>
    </row>
    <row r="2">
      <c r="A2" s="2" t="inlineStr">
        <is>
          <t>All inputs on this sheet drive the entire model. Change any value below and all sheets recalculate.</t>
        </is>
      </c>
    </row>
    <row r="3"/>
    <row r="4">
      <c r="A4" s="3" t="inlineStr">
        <is>
          <t>PROJECT PARAMETERS</t>
        </is>
      </c>
    </row>
    <row r="5" ht="28" customHeight="1">
      <c r="A5" s="4" t="inlineStr">
        <is>
          <t>Parameter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5" t="inlineStr">
        <is>
          <t>Total Saleable Area</t>
        </is>
      </c>
      <c r="B6" s="6" t="n">
        <v>800000</v>
      </c>
      <c r="C6" s="5" t="inlineStr">
        <is>
          <t>sft</t>
        </is>
      </c>
      <c r="D6" s="5" t="inlineStr">
        <is>
          <t>Net saleable area</t>
        </is>
      </c>
    </row>
    <row r="7">
      <c r="A7" s="5" t="inlineStr">
        <is>
          <t>Average Apartment Size</t>
        </is>
      </c>
      <c r="B7" s="6" t="n">
        <v>1476</v>
      </c>
      <c r="C7" s="5" t="inlineStr">
        <is>
          <t>sft</t>
        </is>
      </c>
      <c r="D7" s="5" t="inlineStr">
        <is>
          <t>Weighted average across tiers</t>
        </is>
      </c>
    </row>
    <row r="8">
      <c r="A8" s="5" t="inlineStr">
        <is>
          <t>Total Units (calculated)</t>
        </is>
      </c>
      <c r="B8" s="6">
        <f>ROUND($B$6/$B$7,0)</f>
        <v/>
      </c>
      <c r="C8" s="5" t="inlineStr">
        <is>
          <t>Units</t>
        </is>
      </c>
      <c r="D8" s="5">
        <f> Total Area / Avg Size</f>
        <v/>
      </c>
    </row>
    <row r="9">
      <c r="A9" s="5" t="inlineStr"/>
      <c r="C9" s="5" t="inlineStr"/>
      <c r="D9" s="5" t="inlineStr"/>
    </row>
    <row r="10">
      <c r="A10" s="7" t="inlineStr">
        <is>
          <t>--- Tier 1: Value Entry (2BHK) ---</t>
        </is>
      </c>
      <c r="B10" s="8" t="n"/>
      <c r="C10" s="7" t="inlineStr"/>
      <c r="D10" s="7" t="inlineStr"/>
    </row>
    <row r="11">
      <c r="A11" s="5" t="inlineStr">
        <is>
          <t>T1 Units</t>
        </is>
      </c>
      <c r="B11" s="6" t="n">
        <v>220</v>
      </c>
      <c r="C11" s="5" t="inlineStr">
        <is>
          <t>Units</t>
        </is>
      </c>
      <c r="D11" s="5" t="inlineStr">
        <is>
          <t>Compact 2BHK</t>
        </is>
      </c>
    </row>
    <row r="12">
      <c r="A12" s="5" t="inlineStr">
        <is>
          <t>T1 Avg Size</t>
        </is>
      </c>
      <c r="B12" s="6" t="n">
        <v>1050</v>
      </c>
      <c r="C12" s="5" t="inlineStr">
        <is>
          <t>sft</t>
        </is>
      </c>
      <c r="D12" s="5" t="inlineStr">
        <is>
          <t>Per unit</t>
        </is>
      </c>
    </row>
    <row r="13">
      <c r="A13" s="5" t="inlineStr">
        <is>
          <t>T1 Base Price</t>
        </is>
      </c>
      <c r="B13" s="6" t="n">
        <v>8500</v>
      </c>
      <c r="C13" s="5" t="inlineStr">
        <is>
          <t>Rs/sft</t>
        </is>
      </c>
      <c r="D13" s="5" t="inlineStr">
        <is>
          <t>Launch price</t>
        </is>
      </c>
    </row>
    <row r="14">
      <c r="A14" s="5" t="inlineStr">
        <is>
          <t>T1 Effective Price</t>
        </is>
      </c>
      <c r="B14" s="6" t="n">
        <v>9200</v>
      </c>
      <c r="C14" s="5" t="inlineStr">
        <is>
          <t>Rs/sft</t>
        </is>
      </c>
      <c r="D14" s="5" t="inlineStr">
        <is>
          <t>After premiums</t>
        </is>
      </c>
    </row>
    <row r="15">
      <c r="A15" s="5" t="inlineStr"/>
      <c r="C15" s="5" t="inlineStr"/>
      <c r="D15" s="5" t="inlineStr"/>
    </row>
    <row r="16">
      <c r="A16" s="7" t="inlineStr">
        <is>
          <t>--- Tier 2: Core Premium (3BHK) ---</t>
        </is>
      </c>
      <c r="B16" s="8" t="n"/>
      <c r="C16" s="7" t="inlineStr"/>
      <c r="D16" s="7" t="inlineStr"/>
    </row>
    <row r="17">
      <c r="A17" s="5" t="inlineStr">
        <is>
          <t>T2 Units</t>
        </is>
      </c>
      <c r="B17" s="6" t="n">
        <v>280</v>
      </c>
      <c r="C17" s="5" t="inlineStr">
        <is>
          <t>Units</t>
        </is>
      </c>
      <c r="D17" s="5" t="inlineStr">
        <is>
          <t>Premium 3BHK</t>
        </is>
      </c>
    </row>
    <row r="18">
      <c r="A18" s="5" t="inlineStr">
        <is>
          <t>T2 Avg Size</t>
        </is>
      </c>
      <c r="B18" s="6" t="n">
        <v>1600</v>
      </c>
      <c r="C18" s="5" t="inlineStr">
        <is>
          <t>sft</t>
        </is>
      </c>
      <c r="D18" s="5" t="inlineStr">
        <is>
          <t>Per unit</t>
        </is>
      </c>
    </row>
    <row r="19">
      <c r="A19" s="5" t="inlineStr">
        <is>
          <t>T2 Base Price</t>
        </is>
      </c>
      <c r="B19" s="6" t="n">
        <v>10800</v>
      </c>
      <c r="C19" s="5" t="inlineStr">
        <is>
          <t>Rs/sft</t>
        </is>
      </c>
      <c r="D19" s="5" t="inlineStr">
        <is>
          <t>Launch price</t>
        </is>
      </c>
    </row>
    <row r="20">
      <c r="A20" s="5" t="inlineStr">
        <is>
          <t>T2 Effective Price</t>
        </is>
      </c>
      <c r="B20" s="6" t="n">
        <v>11500</v>
      </c>
      <c r="C20" s="5" t="inlineStr">
        <is>
          <t>Rs/sft</t>
        </is>
      </c>
      <c r="D20" s="5" t="inlineStr">
        <is>
          <t>After premiums</t>
        </is>
      </c>
    </row>
    <row r="21">
      <c r="A21" s="5" t="inlineStr"/>
      <c r="C21" s="5" t="inlineStr"/>
      <c r="D21" s="5" t="inlineStr"/>
    </row>
    <row r="22">
      <c r="A22" s="7" t="inlineStr">
        <is>
          <t>--- Tier 3: Signature Luxury ---</t>
        </is>
      </c>
      <c r="B22" s="8" t="n"/>
      <c r="C22" s="7" t="inlineStr"/>
      <c r="D22" s="7" t="inlineStr"/>
    </row>
    <row r="23">
      <c r="A23" s="5" t="inlineStr">
        <is>
          <t>T3 Units</t>
        </is>
      </c>
      <c r="B23" s="6" t="n">
        <v>42</v>
      </c>
      <c r="C23" s="5" t="inlineStr">
        <is>
          <t>Units</t>
        </is>
      </c>
      <c r="D23" s="5" t="inlineStr">
        <is>
          <t>Penthouses / 4BHK</t>
        </is>
      </c>
    </row>
    <row r="24">
      <c r="A24" s="5" t="inlineStr">
        <is>
          <t>T3 Avg Size</t>
        </is>
      </c>
      <c r="B24" s="6" t="n">
        <v>2800</v>
      </c>
      <c r="C24" s="5" t="inlineStr">
        <is>
          <t>sft</t>
        </is>
      </c>
      <c r="D24" s="5" t="inlineStr">
        <is>
          <t>Per unit</t>
        </is>
      </c>
    </row>
    <row r="25">
      <c r="A25" s="5" t="inlineStr">
        <is>
          <t>T3 Base Price</t>
        </is>
      </c>
      <c r="B25" s="6" t="n">
        <v>12500</v>
      </c>
      <c r="C25" s="5" t="inlineStr">
        <is>
          <t>Rs/sft</t>
        </is>
      </c>
      <c r="D25" s="5" t="inlineStr">
        <is>
          <t>Launch price</t>
        </is>
      </c>
    </row>
    <row r="26">
      <c r="A26" s="5" t="inlineStr">
        <is>
          <t>T3 Effective Price</t>
        </is>
      </c>
      <c r="B26" s="6" t="n">
        <v>14200</v>
      </c>
      <c r="C26" s="5" t="inlineStr">
        <is>
          <t>Rs/sft</t>
        </is>
      </c>
      <c r="D26" s="5" t="inlineStr">
        <is>
          <t>After premiums</t>
        </is>
      </c>
    </row>
    <row r="27">
      <c r="A27" s="5" t="inlineStr"/>
      <c r="C27" s="5" t="inlineStr"/>
      <c r="D27" s="5" t="inlineStr"/>
    </row>
    <row r="28">
      <c r="A28" s="7" t="inlineStr">
        <is>
          <t>--- Cost Parameters ---</t>
        </is>
      </c>
      <c r="B28" s="8" t="n"/>
      <c r="C28" s="7" t="inlineStr"/>
      <c r="D28" s="7" t="inlineStr"/>
    </row>
    <row r="29">
      <c r="A29" s="5" t="inlineStr">
        <is>
          <t>Land Acquisition Cost</t>
        </is>
      </c>
      <c r="B29" s="6" t="n">
        <v>3100</v>
      </c>
      <c r="C29" s="5" t="inlineStr">
        <is>
          <t>Rs/sft</t>
        </is>
      </c>
      <c r="D29" s="5" t="inlineStr">
        <is>
          <t>Upfront equity</t>
        </is>
      </c>
    </row>
    <row r="30">
      <c r="A30" s="5" t="inlineStr">
        <is>
          <t>Construction Cost (All-in)</t>
        </is>
      </c>
      <c r="B30" s="6" t="n">
        <v>4200</v>
      </c>
      <c r="C30" s="5" t="inlineStr">
        <is>
          <t>Rs/sft</t>
        </is>
      </c>
      <c r="D30" s="5" t="inlineStr">
        <is>
          <t>Incl. amenities, MEP, finishing</t>
        </is>
      </c>
    </row>
    <row r="31">
      <c r="A31" s="5" t="inlineStr">
        <is>
          <t>Statutory &amp; Approvals</t>
        </is>
      </c>
      <c r="B31" s="9" t="n">
        <v>8</v>
      </c>
      <c r="C31" s="5" t="inlineStr">
        <is>
          <t>Cr</t>
        </is>
      </c>
      <c r="D31" s="5" t="inlineStr">
        <is>
          <t>RERA, BDA, BBMP</t>
        </is>
      </c>
    </row>
    <row r="32">
      <c r="A32" s="5" t="inlineStr">
        <is>
          <t>Contingency %</t>
        </is>
      </c>
      <c r="B32" s="9" t="n">
        <v>2</v>
      </c>
      <c r="C32" s="5" t="inlineStr">
        <is>
          <t>%</t>
        </is>
      </c>
      <c r="D32" s="5" t="inlineStr">
        <is>
          <t>As % of hard cost</t>
        </is>
      </c>
    </row>
    <row r="33">
      <c r="A33" s="5" t="inlineStr"/>
      <c r="C33" s="5" t="inlineStr"/>
      <c r="D33" s="5" t="inlineStr"/>
    </row>
    <row r="34">
      <c r="A34" s="7" t="inlineStr">
        <is>
          <t>--- Financing ---</t>
        </is>
      </c>
      <c r="B34" s="8" t="n"/>
      <c r="C34" s="7" t="inlineStr"/>
      <c r="D34" s="7" t="inlineStr"/>
    </row>
    <row r="35">
      <c r="A35" s="5" t="inlineStr">
        <is>
          <t>Debt LTV Ratio</t>
        </is>
      </c>
      <c r="B35" s="6" t="n">
        <v>65</v>
      </c>
      <c r="C35" s="5" t="inlineStr">
        <is>
          <t>%</t>
        </is>
      </c>
      <c r="D35" s="5" t="inlineStr">
        <is>
          <t>Loan-to-value</t>
        </is>
      </c>
    </row>
    <row r="36">
      <c r="A36" s="5" t="inlineStr">
        <is>
          <t>Debt Interest Rate</t>
        </is>
      </c>
      <c r="B36" s="9" t="n">
        <v>9.5</v>
      </c>
      <c r="C36" s="5" t="inlineStr">
        <is>
          <t>%</t>
        </is>
      </c>
      <c r="D36" s="5" t="inlineStr">
        <is>
          <t>Annual</t>
        </is>
      </c>
    </row>
    <row r="37">
      <c r="A37" s="5" t="inlineStr">
        <is>
          <t>Loan Tenure</t>
        </is>
      </c>
      <c r="B37" s="6" t="n">
        <v>36</v>
      </c>
      <c r="C37" s="5" t="inlineStr">
        <is>
          <t>Months</t>
        </is>
      </c>
      <c r="D37" s="5" t="inlineStr">
        <is>
          <t>Construction finance</t>
        </is>
      </c>
    </row>
    <row r="38">
      <c r="A38" s="5" t="inlineStr"/>
      <c r="C38" s="5" t="inlineStr"/>
      <c r="D38" s="5" t="inlineStr"/>
    </row>
    <row r="39">
      <c r="A39" s="7" t="inlineStr">
        <is>
          <t>--- Anarock GTM Fees ---</t>
        </is>
      </c>
      <c r="B39" s="8" t="n"/>
      <c r="C39" s="7" t="inlineStr"/>
      <c r="D39" s="7" t="inlineStr"/>
    </row>
    <row r="40">
      <c r="A40" s="5" t="inlineStr">
        <is>
          <t>Brokerage Commission Rate</t>
        </is>
      </c>
      <c r="B40" s="9" t="n">
        <v>1.5</v>
      </c>
      <c r="C40" s="5" t="inlineStr">
        <is>
          <t>%</t>
        </is>
      </c>
      <c r="D40" s="5" t="inlineStr">
        <is>
          <t>Of GTV per sale</t>
        </is>
      </c>
    </row>
    <row r="41">
      <c r="A41" s="5" t="inlineStr">
        <is>
          <t>Marketing Budget Rate</t>
        </is>
      </c>
      <c r="B41" s="9" t="n">
        <v>0.8</v>
      </c>
      <c r="C41" s="5" t="inlineStr">
        <is>
          <t>%</t>
        </is>
      </c>
      <c r="D41" s="5" t="inlineStr">
        <is>
          <t>Of GTV</t>
        </is>
      </c>
    </row>
    <row r="42">
      <c r="A42" s="5" t="inlineStr">
        <is>
          <t>AI Platform Monthly Fee</t>
        </is>
      </c>
      <c r="B42" s="9" t="n">
        <v>3</v>
      </c>
      <c r="C42" s="5" t="inlineStr">
        <is>
          <t>Lakhs/mo</t>
        </is>
      </c>
      <c r="D42" s="5" t="inlineStr">
        <is>
          <t>Astra, Genie, CP Ranker</t>
        </is>
      </c>
    </row>
    <row r="43">
      <c r="A43" s="5" t="inlineStr">
        <is>
          <t>CP Mobilization (One-time)</t>
        </is>
      </c>
      <c r="B43" s="9" t="n">
        <v>25</v>
      </c>
      <c r="C43" s="5" t="inlineStr">
        <is>
          <t>Lakhs</t>
        </is>
      </c>
      <c r="D43" s="5" t="inlineStr">
        <is>
          <t>200 broker onboarding</t>
        </is>
      </c>
    </row>
    <row r="44">
      <c r="A44" s="5" t="inlineStr">
        <is>
          <t>Performance Bonus Rate</t>
        </is>
      </c>
      <c r="B44" s="9" t="n">
        <v>0.25</v>
      </c>
      <c r="C44" s="5" t="inlineStr">
        <is>
          <t>%</t>
        </is>
      </c>
      <c r="D44" s="5" t="inlineStr">
        <is>
          <t>Incremental if velocity &gt;15/mo</t>
        </is>
      </c>
    </row>
    <row r="45">
      <c r="A45" s="5" t="inlineStr"/>
      <c r="C45" s="5" t="inlineStr"/>
      <c r="D45" s="5" t="inlineStr"/>
    </row>
    <row r="46">
      <c r="A46" s="7" t="inlineStr">
        <is>
          <t>--- Sales Velocity ---</t>
        </is>
      </c>
      <c r="B46" s="8" t="n"/>
      <c r="C46" s="7" t="inlineStr"/>
      <c r="D46" s="7" t="inlineStr"/>
    </row>
    <row r="47">
      <c r="A47" s="5" t="inlineStr">
        <is>
          <t>Target Monthly Velocity</t>
        </is>
      </c>
      <c r="B47" s="6" t="n">
        <v>12</v>
      </c>
      <c r="C47" s="5" t="inlineStr">
        <is>
          <t>Units/mo</t>
        </is>
      </c>
      <c r="D47" s="5" t="inlineStr">
        <is>
          <t>Gate 4 threshold</t>
        </is>
      </c>
    </row>
    <row r="48">
      <c r="A48" s="5" t="inlineStr">
        <is>
          <t>Pre-Launch Soft Bookings %</t>
        </is>
      </c>
      <c r="B48" s="9" t="n">
        <v>15</v>
      </c>
      <c r="C48" s="5" t="inlineStr">
        <is>
          <t>%</t>
        </is>
      </c>
      <c r="D48" s="5" t="inlineStr">
        <is>
          <t>Gate 3: % of total units</t>
        </is>
      </c>
    </row>
    <row r="49">
      <c r="A49" s="5" t="inlineStr"/>
      <c r="C49" s="5" t="inlineStr"/>
      <c r="D49" s="5" t="inlineStr"/>
    </row>
    <row r="50">
      <c r="A50" s="7" t="inlineStr">
        <is>
          <t>--- Gate Thresholds ---</t>
        </is>
      </c>
      <c r="B50" s="8" t="n"/>
      <c r="C50" s="7" t="inlineStr"/>
      <c r="D50" s="7" t="inlineStr"/>
    </row>
    <row r="51">
      <c r="A51" s="5" t="inlineStr">
        <is>
          <t>Gate 1: Min Equity IRR</t>
        </is>
      </c>
      <c r="B51" s="9" t="n">
        <v>20</v>
      </c>
      <c r="C51" s="5" t="inlineStr">
        <is>
          <t>%</t>
        </is>
      </c>
      <c r="D51" s="5" t="inlineStr">
        <is>
          <t>Mandate sign-off hurdle</t>
        </is>
      </c>
    </row>
    <row r="52">
      <c r="A52" s="5" t="inlineStr">
        <is>
          <t>Gate 1: Max Overhang</t>
        </is>
      </c>
      <c r="B52" s="6" t="n">
        <v>18</v>
      </c>
      <c r="C52" s="5" t="inlineStr">
        <is>
          <t>Months</t>
        </is>
      </c>
      <c r="D52" s="5" t="inlineStr">
        <is>
          <t>Inventory overhang index</t>
        </is>
      </c>
    </row>
    <row r="53">
      <c r="A53" s="5" t="inlineStr">
        <is>
          <t>Gate 2: Min CPs</t>
        </is>
      </c>
      <c r="B53" s="6" t="n">
        <v>150</v>
      </c>
      <c r="C53" s="5" t="inlineStr">
        <is>
          <t>CPs</t>
        </is>
      </c>
      <c r="D53" s="5" t="inlineStr">
        <is>
          <t>Pre-registered channel partners</t>
        </is>
      </c>
    </row>
    <row r="54">
      <c r="A54" s="5" t="inlineStr">
        <is>
          <t>Gate 3: Min Token Corpus</t>
        </is>
      </c>
      <c r="B54" s="9" t="n">
        <v>12</v>
      </c>
      <c r="C54" s="5" t="inlineStr">
        <is>
          <t>Cr</t>
        </is>
      </c>
      <c r="D54" s="5" t="inlineStr">
        <is>
          <t>EOI token aggregation</t>
        </is>
      </c>
    </row>
    <row r="55">
      <c r="A55" s="5" t="inlineStr">
        <is>
          <t>Gate 3: Astra Accuracy</t>
        </is>
      </c>
      <c r="B55" s="9" t="n">
        <v>85</v>
      </c>
      <c r="C55" s="5" t="inlineStr">
        <is>
          <t>%</t>
        </is>
      </c>
      <c r="D55" s="5" t="inlineStr">
        <is>
          <t>Prediction accuracy</t>
        </is>
      </c>
    </row>
    <row r="56">
      <c r="A56" s="5" t="inlineStr">
        <is>
          <t>Gate 4: Max CAC</t>
        </is>
      </c>
      <c r="B56" s="9" t="n">
        <v>2.5</v>
      </c>
      <c r="C56" s="5" t="inlineStr">
        <is>
          <t>%</t>
        </is>
      </c>
      <c r="D56" s="5" t="inlineStr">
        <is>
          <t>% of GTV</t>
        </is>
      </c>
    </row>
    <row r="57">
      <c r="A57" s="5" t="inlineStr">
        <is>
          <t>Gate 4: Min Lead Revival</t>
        </is>
      </c>
      <c r="B57" s="9" t="n">
        <v>10</v>
      </c>
      <c r="C57" s="5" t="inlineStr">
        <is>
          <t>%</t>
        </is>
      </c>
      <c r="D57" s="5" t="inlineStr">
        <is>
          <t>Astra Phoenix success rate</t>
        </is>
      </c>
    </row>
    <row r="58">
      <c r="A58" s="5" t="inlineStr"/>
      <c r="C58" s="5" t="inlineStr"/>
      <c r="D58" s="5" t="inlineStr"/>
    </row>
    <row r="59">
      <c r="A59" s="7" t="inlineStr">
        <is>
          <t>--- Project Timeline ---</t>
        </is>
      </c>
      <c r="B59" s="8" t="n"/>
      <c r="C59" s="7" t="inlineStr"/>
      <c r="D59" s="7" t="inlineStr"/>
    </row>
    <row r="60">
      <c r="A60" s="5" t="inlineStr">
        <is>
          <t>Discovery Phase</t>
        </is>
      </c>
      <c r="B60" s="6" t="n">
        <v>2</v>
      </c>
      <c r="C60" s="5" t="inlineStr">
        <is>
          <t>Months</t>
        </is>
      </c>
      <c r="D60" s="5" t="inlineStr">
        <is>
          <t>Stage 1</t>
        </is>
      </c>
    </row>
    <row r="61">
      <c r="A61" s="5" t="inlineStr">
        <is>
          <t>GTM Prep Phase</t>
        </is>
      </c>
      <c r="B61" s="6" t="n">
        <v>2</v>
      </c>
      <c r="C61" s="5" t="inlineStr">
        <is>
          <t>Months</t>
        </is>
      </c>
      <c r="D61" s="5" t="inlineStr">
        <is>
          <t>Stage 2</t>
        </is>
      </c>
    </row>
    <row r="62">
      <c r="A62" s="5" t="inlineStr">
        <is>
          <t>Soft Launch Phase</t>
        </is>
      </c>
      <c r="B62" s="6" t="n">
        <v>1</v>
      </c>
      <c r="C62" s="5" t="inlineStr">
        <is>
          <t>Months</t>
        </is>
      </c>
      <c r="D62" s="5" t="inlineStr">
        <is>
          <t>Stage 3</t>
        </is>
      </c>
    </row>
    <row r="63">
      <c r="A63" s="5" t="inlineStr">
        <is>
          <t>Public Launch Phase</t>
        </is>
      </c>
      <c r="B63" s="6" t="n">
        <v>7</v>
      </c>
      <c r="C63" s="5" t="inlineStr">
        <is>
          <t>Months</t>
        </is>
      </c>
      <c r="D63" s="5" t="inlineStr">
        <is>
          <t>Stage 4 initial</t>
        </is>
      </c>
    </row>
    <row r="64">
      <c r="A64" s="5" t="inlineStr">
        <is>
          <t>Sustenance Phase</t>
        </is>
      </c>
      <c r="B64" s="6" t="n">
        <v>24</v>
      </c>
      <c r="C64" s="5" t="inlineStr">
        <is>
          <t>Months</t>
        </is>
      </c>
      <c r="D64" s="5" t="inlineStr">
        <is>
          <t>Stage 4 ongoing</t>
        </is>
      </c>
    </row>
    <row r="65">
      <c r="A65" s="5" t="inlineStr">
        <is>
          <t>Wrapex Phase</t>
        </is>
      </c>
      <c r="B65" s="6" t="n">
        <v>6</v>
      </c>
      <c r="C65" s="5" t="inlineStr">
        <is>
          <t>Months</t>
        </is>
      </c>
      <c r="D65" s="5" t="inlineStr">
        <is>
          <t>Wind-down</t>
        </is>
      </c>
    </row>
    <row r="66">
      <c r="A66" s="5" t="inlineStr">
        <is>
          <t>Handover Phase</t>
        </is>
      </c>
      <c r="B66" s="6" t="n">
        <v>6</v>
      </c>
      <c r="C66" s="5" t="inlineStr">
        <is>
          <t>Months</t>
        </is>
      </c>
      <c r="D66" s="5" t="inlineStr">
        <is>
          <t>Final handovers</t>
        </is>
      </c>
    </row>
    <row r="67"/>
    <row r="68">
      <c r="A68" s="3" t="inlineStr">
        <is>
          <t>COMPUTED SUMMARY (All Formulas)</t>
        </is>
      </c>
    </row>
    <row r="69" ht="28" customHeight="1">
      <c r="A69" s="10" t="inlineStr">
        <is>
          <t>Metric</t>
        </is>
      </c>
      <c r="B69" s="10" t="inlineStr">
        <is>
          <t>Formula Result</t>
        </is>
      </c>
      <c r="C69" s="10" t="inlineStr">
        <is>
          <t>Unit</t>
        </is>
      </c>
      <c r="D69" s="10" t="inlineStr">
        <is>
          <t>Formula Description</t>
        </is>
      </c>
    </row>
    <row r="70">
      <c r="A70" s="11" t="inlineStr">
        <is>
          <t>T1 Tier GTV</t>
        </is>
      </c>
      <c r="B70" s="9">
        <f>$B$11*$B$12*$B$14/10000000</f>
        <v/>
      </c>
      <c r="C70" s="5" t="inlineStr">
        <is>
          <t>Cr</t>
        </is>
      </c>
      <c r="D70" s="5" t="inlineStr">
        <is>
          <t>T1 Units x T1 Size x T1 Eff Price / 10^7</t>
        </is>
      </c>
    </row>
    <row r="71">
      <c r="A71" s="11" t="inlineStr">
        <is>
          <t>T2 Tier GTV</t>
        </is>
      </c>
      <c r="B71" s="9">
        <f>$B$17*$B$18*$B$20/10000000</f>
        <v/>
      </c>
      <c r="C71" s="5" t="inlineStr">
        <is>
          <t>Cr</t>
        </is>
      </c>
      <c r="D71" s="5" t="inlineStr">
        <is>
          <t>T2 Units x T2 Size x T2 Eff Price / 10^7</t>
        </is>
      </c>
    </row>
    <row r="72">
      <c r="A72" s="11" t="inlineStr">
        <is>
          <t>T3 Tier GTV</t>
        </is>
      </c>
      <c r="B72" s="9">
        <f>$B$23*$B$24*$B$26/10000000</f>
        <v/>
      </c>
      <c r="C72" s="5" t="inlineStr">
        <is>
          <t>Cr</t>
        </is>
      </c>
      <c r="D72" s="5" t="inlineStr">
        <is>
          <t>T3 Units x T3 Size x T3 Eff Price / 10^7</t>
        </is>
      </c>
    </row>
    <row r="73">
      <c r="A73" s="12" t="inlineStr">
        <is>
          <t>Total Project GTV</t>
        </is>
      </c>
      <c r="B73" s="13">
        <f>$B$70+$B$71+$B$72</f>
        <v/>
      </c>
      <c r="C73" s="12" t="inlineStr">
        <is>
          <t>Cr</t>
        </is>
      </c>
      <c r="D73" s="12" t="inlineStr">
        <is>
          <t>Sum of all tier GTVs</t>
        </is>
      </c>
    </row>
    <row r="74">
      <c r="A74" s="11" t="inlineStr">
        <is>
          <t>Total Units (Sum)</t>
        </is>
      </c>
      <c r="B74" s="9">
        <f>$B$11+$B$17+$B$23</f>
        <v/>
      </c>
      <c r="C74" s="5" t="inlineStr">
        <is>
          <t>Units</t>
        </is>
      </c>
      <c r="D74" s="5" t="inlineStr">
        <is>
          <t>Sum of tier units</t>
        </is>
      </c>
    </row>
    <row r="75">
      <c r="A75" s="11" t="inlineStr">
        <is>
          <t>Blended ASP</t>
        </is>
      </c>
      <c r="B75" s="9">
        <f>$B$73*10000000/$B$6</f>
        <v/>
      </c>
      <c r="C75" s="5" t="inlineStr">
        <is>
          <t>Rs/sft</t>
        </is>
      </c>
      <c r="D75" s="5" t="inlineStr">
        <is>
          <t>Total GTV / Total Area</t>
        </is>
      </c>
    </row>
    <row r="76">
      <c r="A76" s="11" t="inlineStr">
        <is>
          <t>Avg Ticket Size</t>
        </is>
      </c>
      <c r="B76" s="9">
        <f>$B$73/$B$74</f>
        <v/>
      </c>
      <c r="C76" s="5" t="inlineStr">
        <is>
          <t>Cr</t>
        </is>
      </c>
      <c r="D76" s="5" t="inlineStr">
        <is>
          <t>GTV / Total Units</t>
        </is>
      </c>
    </row>
    <row r="77">
      <c r="A77" s="5" t="inlineStr"/>
      <c r="B77" s="14" t="n"/>
      <c r="C77" s="5" t="inlineStr"/>
      <c r="D77" s="5" t="inlineStr"/>
    </row>
    <row r="78">
      <c r="A78" s="11" t="inlineStr">
        <is>
          <t>Land Cost (Total)</t>
        </is>
      </c>
      <c r="B78" s="9">
        <f>$B$6*$B$29/10000000</f>
        <v/>
      </c>
      <c r="C78" s="5" t="inlineStr">
        <is>
          <t>Cr</t>
        </is>
      </c>
      <c r="D78" s="5" t="inlineStr">
        <is>
          <t>Area x Land Rate / 10^7</t>
        </is>
      </c>
    </row>
    <row r="79">
      <c r="A79" s="11" t="inlineStr">
        <is>
          <t>Construction Cost (Total)</t>
        </is>
      </c>
      <c r="B79" s="9">
        <f>$B$6*$B$30/10000000</f>
        <v/>
      </c>
      <c r="C79" s="5" t="inlineStr">
        <is>
          <t>Cr</t>
        </is>
      </c>
      <c r="D79" s="5" t="inlineStr">
        <is>
          <t>Area x Const Rate / 10^7</t>
        </is>
      </c>
    </row>
    <row r="80">
      <c r="A80" s="12" t="inlineStr">
        <is>
          <t>Total Hard Costs</t>
        </is>
      </c>
      <c r="B80" s="13">
        <f>$B$78+$B$79</f>
        <v/>
      </c>
      <c r="C80" s="12" t="inlineStr">
        <is>
          <t>Cr</t>
        </is>
      </c>
      <c r="D80" s="12" t="inlineStr">
        <is>
          <t>Land + Construction</t>
        </is>
      </c>
    </row>
    <row r="81">
      <c r="A81" s="11" t="inlineStr">
        <is>
          <t>Contingency Amount</t>
        </is>
      </c>
      <c r="B81" s="9">
        <f>$B$80*$B$32/100</f>
        <v/>
      </c>
      <c r="C81" s="5" t="inlineStr">
        <is>
          <t>Cr</t>
        </is>
      </c>
      <c r="D81" s="5" t="inlineStr">
        <is>
          <t>Contingency % x Hard Costs</t>
        </is>
      </c>
    </row>
    <row r="82">
      <c r="A82" s="5" t="inlineStr"/>
      <c r="B82" s="14" t="n"/>
      <c r="C82" s="5" t="inlineStr"/>
      <c r="D82" s="5" t="inlineStr"/>
    </row>
    <row r="83">
      <c r="A83" s="11" t="inlineStr">
        <is>
          <t>Brokerage Cost</t>
        </is>
      </c>
      <c r="B83" s="9">
        <f>$B$73*$B$40/100</f>
        <v/>
      </c>
      <c r="C83" s="5" t="inlineStr">
        <is>
          <t>Cr</t>
        </is>
      </c>
      <c r="D83" s="5" t="inlineStr">
        <is>
          <t>GTV x Brokerage Rate</t>
        </is>
      </c>
    </row>
    <row r="84">
      <c r="A84" s="11" t="inlineStr">
        <is>
          <t>Marketing Cost</t>
        </is>
      </c>
      <c r="B84" s="9">
        <f>$B$73*$B$41/100</f>
        <v/>
      </c>
      <c r="C84" s="5" t="inlineStr">
        <is>
          <t>Cr</t>
        </is>
      </c>
      <c r="D84" s="5" t="inlineStr">
        <is>
          <t>GTV x Marketing Rate</t>
        </is>
      </c>
    </row>
    <row r="85">
      <c r="A85" s="11" t="inlineStr">
        <is>
          <t>AI Platform Cost (42 mo)</t>
        </is>
      </c>
      <c r="B85" s="9">
        <f>$B$42*42/100</f>
        <v/>
      </c>
      <c r="C85" s="5" t="inlineStr">
        <is>
          <t>Cr</t>
        </is>
      </c>
      <c r="D85" s="5" t="inlineStr">
        <is>
          <t>Monthly fee x 42 months / 100</t>
        </is>
      </c>
    </row>
    <row r="86">
      <c r="A86" s="11" t="inlineStr">
        <is>
          <t>CP Mobilization Cost</t>
        </is>
      </c>
      <c r="B86" s="9">
        <f>$B$43/100</f>
        <v/>
      </c>
      <c r="C86" s="5" t="inlineStr">
        <is>
          <t>Cr</t>
        </is>
      </c>
      <c r="D86" s="5" t="inlineStr">
        <is>
          <t>One-time / 100 for Cr</t>
        </is>
      </c>
    </row>
    <row r="87">
      <c r="A87" s="11" t="inlineStr">
        <is>
          <t>Performance Bonus</t>
        </is>
      </c>
      <c r="B87" s="9">
        <f>$B$73*$B$44/100</f>
        <v/>
      </c>
      <c r="C87" s="5" t="inlineStr">
        <is>
          <t>Cr</t>
        </is>
      </c>
      <c r="D87" s="5" t="inlineStr">
        <is>
          <t>GTV x Bonus Rate</t>
        </is>
      </c>
    </row>
    <row r="88">
      <c r="A88" s="12" t="inlineStr">
        <is>
          <t>Total Anarock GTM Cost</t>
        </is>
      </c>
      <c r="B88" s="13">
        <f>$B$83+$B$84+$B$85+$B$86+$B$87</f>
        <v/>
      </c>
      <c r="C88" s="12" t="inlineStr">
        <is>
          <t>Cr</t>
        </is>
      </c>
      <c r="D88" s="12" t="inlineStr">
        <is>
          <t>Sum of all Anarock fees</t>
        </is>
      </c>
    </row>
    <row r="89">
      <c r="A89" s="11" t="inlineStr">
        <is>
          <t>Anarock GTM as % of GTV</t>
        </is>
      </c>
      <c r="B89" s="9">
        <f>$B$88/$B$73*100</f>
        <v/>
      </c>
      <c r="C89" s="5" t="inlineStr">
        <is>
          <t>%</t>
        </is>
      </c>
      <c r="D89" s="5" t="inlineStr">
        <is>
          <t>Total Anarock / GTV x 100</t>
        </is>
      </c>
    </row>
    <row r="90">
      <c r="A90" s="5" t="inlineStr"/>
      <c r="B90" s="14" t="n"/>
      <c r="C90" s="5" t="inlineStr"/>
      <c r="D90" s="5" t="inlineStr"/>
    </row>
    <row r="91">
      <c r="A91" s="12" t="inlineStr">
        <is>
          <t>Total Project Cost</t>
        </is>
      </c>
      <c r="B91" s="13">
        <f>$B$80+$B$31+$B$81+$B$88</f>
        <v/>
      </c>
      <c r="C91" s="12" t="inlineStr">
        <is>
          <t>Cr</t>
        </is>
      </c>
      <c r="D91" s="12" t="inlineStr">
        <is>
          <t>Hard Costs + Statutory + Contingency + GTM</t>
        </is>
      </c>
    </row>
    <row r="92">
      <c r="A92" s="15" t="inlineStr">
        <is>
          <t>Developer Net Profit</t>
        </is>
      </c>
      <c r="B92" s="16">
        <f>$B$73-$B$91</f>
        <v/>
      </c>
      <c r="C92" s="15" t="inlineStr">
        <is>
          <t>Cr</t>
        </is>
      </c>
      <c r="D92" s="15" t="inlineStr">
        <is>
          <t>GTV - Total Project Cost</t>
        </is>
      </c>
    </row>
    <row r="93">
      <c r="A93" s="15" t="inlineStr">
        <is>
          <t>Net Margin %</t>
        </is>
      </c>
      <c r="B93" s="16">
        <f>$B$92/$B$73*100</f>
        <v/>
      </c>
      <c r="C93" s="15" t="inlineStr">
        <is>
          <t>%</t>
        </is>
      </c>
      <c r="D93" s="15" t="inlineStr">
        <is>
          <t>Net Profit / GTV x 100</t>
        </is>
      </c>
    </row>
    <row r="94">
      <c r="A94" s="5" t="inlineStr"/>
      <c r="B94" s="14" t="n"/>
      <c r="C94" s="5" t="inlineStr"/>
      <c r="D94" s="5" t="inlineStr"/>
    </row>
    <row r="95">
      <c r="A95" s="11" t="inlineStr">
        <is>
          <t>Debt Amount</t>
        </is>
      </c>
      <c r="B95" s="9">
        <f>$B$73*$B$35/100</f>
        <v/>
      </c>
      <c r="C95" s="5" t="inlineStr">
        <is>
          <t>Cr</t>
        </is>
      </c>
      <c r="D95" s="5" t="inlineStr">
        <is>
          <t>GTV x LTV</t>
        </is>
      </c>
    </row>
    <row r="96">
      <c r="A96" s="11" t="inlineStr">
        <is>
          <t>Annual Debt Service</t>
        </is>
      </c>
      <c r="B96" s="9">
        <f>$B$95*$B$36/100</f>
        <v/>
      </c>
      <c r="C96" s="5" t="inlineStr">
        <is>
          <t>Cr</t>
        </is>
      </c>
      <c r="D96" s="5" t="inlineStr">
        <is>
          <t>Debt x Interest Rate</t>
        </is>
      </c>
    </row>
    <row r="97">
      <c r="A97" s="11" t="inlineStr">
        <is>
          <t>Annual NOI (est.)</t>
        </is>
      </c>
      <c r="B97" s="9">
        <f>$B$92/3.5</f>
        <v/>
      </c>
      <c r="C97" s="5" t="inlineStr">
        <is>
          <t>Cr</t>
        </is>
      </c>
      <c r="D97" s="5" t="inlineStr">
        <is>
          <t>Estimated net operating income</t>
        </is>
      </c>
    </row>
    <row r="98">
      <c r="A98" s="12" t="inlineStr">
        <is>
          <t>DSCR</t>
        </is>
      </c>
      <c r="B98" s="13">
        <f>$B$97/$B$96</f>
        <v/>
      </c>
      <c r="C98" s="12" t="inlineStr">
        <is>
          <t>x</t>
        </is>
      </c>
      <c r="D98" s="12" t="inlineStr">
        <is>
          <t>NOI / Debt Service</t>
        </is>
      </c>
    </row>
  </sheetData>
  <mergeCells count="4">
    <mergeCell ref="A1:J1"/>
    <mergeCell ref="A4:D4"/>
    <mergeCell ref="A68:D68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F37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18" customWidth="1" min="3" max="3"/>
    <col width="17" customWidth="1" min="4" max="4"/>
    <col width="22" customWidth="1" min="5" max="5"/>
    <col width="27" customWidth="1" min="6" max="6"/>
    <col width="26" customWidth="1" min="7" max="7"/>
    <col width="17" customWidth="1" min="8" max="8"/>
    <col width="26" customWidth="1" min="9" max="9"/>
    <col width="13" customWidth="1" min="10" max="10"/>
  </cols>
  <sheetData>
    <row r="1" ht="30" customHeight="1">
      <c r="A1" s="1" t="inlineStr">
        <is>
          <t>Revenue Waterfall -- Barbell Pricing Architecture</t>
        </is>
      </c>
    </row>
    <row r="2">
      <c r="A2" s="2" t="inlineStr">
        <is>
          <t>All cells reference Assumptions sheet. Change tier inputs to recalculate.</t>
        </is>
      </c>
    </row>
    <row r="3"/>
    <row r="4" ht="28" customHeight="1">
      <c r="A4" s="17" t="inlineStr">
        <is>
          <t>Tier</t>
        </is>
      </c>
      <c r="B4" s="17" t="inlineStr">
        <is>
          <t>Configuration</t>
        </is>
      </c>
      <c r="C4" s="17" t="inlineStr">
        <is>
          <t>Unit Count</t>
        </is>
      </c>
      <c r="D4" s="17" t="inlineStr">
        <is>
          <t>Avg Size (sft)</t>
        </is>
      </c>
      <c r="E4" s="17" t="inlineStr">
        <is>
          <t>Base Price (Rs/sft)</t>
        </is>
      </c>
      <c r="F4" s="17" t="inlineStr">
        <is>
          <t>Effective Price (Rs/sft)</t>
        </is>
      </c>
      <c r="G4" s="17" t="inlineStr">
        <is>
          <t>Avg Ticket (Cr)</t>
        </is>
      </c>
      <c r="H4" s="17" t="inlineStr">
        <is>
          <t>Tier GTV (Cr)</t>
        </is>
      </c>
      <c r="I4" s="17" t="inlineStr">
        <is>
          <t>% of Total GTV</t>
        </is>
      </c>
    </row>
    <row r="5">
      <c r="A5" s="11" t="inlineStr">
        <is>
          <t>Value Entry</t>
        </is>
      </c>
      <c r="B5" s="5" t="inlineStr">
        <is>
          <t>Compact 2 BHK</t>
        </is>
      </c>
      <c r="C5" s="6">
        <f>'Assumptions'!$B$11</f>
        <v/>
      </c>
      <c r="D5" s="6">
        <f>'Assumptions'!$B$12</f>
        <v/>
      </c>
      <c r="E5" s="6">
        <f>'Assumptions'!$B$13</f>
        <v/>
      </c>
      <c r="F5" s="6">
        <f>'Assumptions'!$B$14</f>
        <v/>
      </c>
      <c r="G5" s="9">
        <f>'Assumptions'!$B$70/'Assumptions'!$B$11</f>
        <v/>
      </c>
      <c r="H5" s="9">
        <f>'Assumptions'!$B$70</f>
        <v/>
      </c>
      <c r="I5" s="18">
        <f>'Assumptions'!$B$70/'Assumptions'!$B$73</f>
        <v/>
      </c>
    </row>
    <row r="6">
      <c r="A6" s="11" t="inlineStr">
        <is>
          <t>Core Premium</t>
        </is>
      </c>
      <c r="B6" s="5" t="inlineStr">
        <is>
          <t>Premium 3 BHK</t>
        </is>
      </c>
      <c r="C6" s="6">
        <f>'Assumptions'!$B$17</f>
        <v/>
      </c>
      <c r="D6" s="6">
        <f>'Assumptions'!$B$18</f>
        <v/>
      </c>
      <c r="E6" s="6">
        <f>'Assumptions'!$B$19</f>
        <v/>
      </c>
      <c r="F6" s="6">
        <f>'Assumptions'!$B$20</f>
        <v/>
      </c>
      <c r="G6" s="9">
        <f>'Assumptions'!$B$71/'Assumptions'!$B$17</f>
        <v/>
      </c>
      <c r="H6" s="9">
        <f>'Assumptions'!$B$71</f>
        <v/>
      </c>
      <c r="I6" s="18">
        <f>'Assumptions'!$B$71/'Assumptions'!$B$73</f>
        <v/>
      </c>
    </row>
    <row r="7">
      <c r="A7" s="11" t="inlineStr">
        <is>
          <t>Signature Luxury</t>
        </is>
      </c>
      <c r="B7" s="5" t="inlineStr">
        <is>
          <t>Penthouses / 4 BHK</t>
        </is>
      </c>
      <c r="C7" s="6">
        <f>'Assumptions'!$B$23</f>
        <v/>
      </c>
      <c r="D7" s="6">
        <f>'Assumptions'!$B$24</f>
        <v/>
      </c>
      <c r="E7" s="6">
        <f>'Assumptions'!$B$25</f>
        <v/>
      </c>
      <c r="F7" s="6">
        <f>'Assumptions'!$B$26</f>
        <v/>
      </c>
      <c r="G7" s="9">
        <f>'Assumptions'!$B$72/'Assumptions'!$B$23</f>
        <v/>
      </c>
      <c r="H7" s="9">
        <f>'Assumptions'!$B$72</f>
        <v/>
      </c>
      <c r="I7" s="18">
        <f>'Assumptions'!$B$72/'Assumptions'!$B$73</f>
        <v/>
      </c>
    </row>
    <row r="8">
      <c r="A8" s="19" t="inlineStr">
        <is>
          <t>TOTAL / BLENDED</t>
        </is>
      </c>
      <c r="B8" s="20" t="inlineStr"/>
      <c r="C8" s="21">
        <f>'Assumptions'!$B$74</f>
        <v/>
      </c>
      <c r="D8" s="21">
        <f>'Assumptions'!$B$7</f>
        <v/>
      </c>
      <c r="E8" s="20" t="inlineStr"/>
      <c r="F8" s="21">
        <f>'Assumptions'!$B$75</f>
        <v/>
      </c>
      <c r="G8" s="22">
        <f>'Assumptions'!$B$76</f>
        <v/>
      </c>
      <c r="H8" s="22">
        <f>'Assumptions'!$B$73</f>
        <v/>
      </c>
      <c r="I8" s="23" t="n">
        <v>1</v>
      </c>
    </row>
    <row r="9"/>
    <row r="10">
      <c r="A10" s="24" t="inlineStr">
        <is>
          <t>Revenue Phasing by GTM Stage</t>
        </is>
      </c>
    </row>
    <row r="11" ht="28" customHeight="1">
      <c r="A11" s="4" t="inlineStr">
        <is>
          <t>GTM Stage</t>
        </is>
      </c>
      <c r="B11" s="4" t="inlineStr">
        <is>
          <t>Timeline</t>
        </is>
      </c>
      <c r="C11" s="4" t="inlineStr">
        <is>
          <t>% of Units Sold</t>
        </is>
      </c>
      <c r="D11" s="4" t="inlineStr">
        <is>
          <t>Units Sold</t>
        </is>
      </c>
      <c r="E11" s="4" t="inlineStr">
        <is>
          <t>Revenue (Cr)</t>
        </is>
      </c>
      <c r="F11" s="4" t="inlineStr">
        <is>
          <t>Cumulative Units</t>
        </is>
      </c>
      <c r="G11" s="4" t="inlineStr">
        <is>
          <t>Cumulative Revenue (Cr)</t>
        </is>
      </c>
      <c r="H11" s="4" t="inlineStr">
        <is>
          <t>% GTV Achieved</t>
        </is>
      </c>
      <c r="I11" s="4" t="inlineStr">
        <is>
          <t>Avg Velocity (units/mo)</t>
        </is>
      </c>
      <c r="J11" s="4" t="inlineStr">
        <is>
          <t>Months</t>
        </is>
      </c>
    </row>
    <row r="12">
      <c r="A12" s="11" t="inlineStr">
        <is>
          <t>S1: Pre-Mandate Discovery</t>
        </is>
      </c>
      <c r="B12" s="5" t="inlineStr">
        <is>
          <t>Month 1-2</t>
        </is>
      </c>
      <c r="C12" s="18" t="n">
        <v>0</v>
      </c>
      <c r="D12" s="6">
        <f>ROUND($C$12*'Assumptions'!$B$74,0)</f>
        <v/>
      </c>
      <c r="E12" s="25">
        <f>$C$12*'Assumptions'!$B$73</f>
        <v/>
      </c>
      <c r="F12" s="6">
        <f>$D$12</f>
        <v/>
      </c>
      <c r="G12" s="25">
        <f>$E$12</f>
        <v/>
      </c>
      <c r="H12" s="18">
        <f>$G$12/'Assumptions'!$B$73</f>
        <v/>
      </c>
      <c r="I12" s="25">
        <f>IF($J$12=0,0,$D$12/$J$12)</f>
        <v/>
      </c>
      <c r="J12" s="6" t="n">
        <v>2</v>
      </c>
    </row>
    <row r="13">
      <c r="A13" s="11" t="inlineStr">
        <is>
          <t>S2: GTM &amp; Creative Prep</t>
        </is>
      </c>
      <c r="B13" s="5" t="inlineStr">
        <is>
          <t>Month 3-4</t>
        </is>
      </c>
      <c r="C13" s="18" t="n">
        <v>0</v>
      </c>
      <c r="D13" s="6">
        <f>ROUND($C$13*'Assumptions'!$B$74,0)</f>
        <v/>
      </c>
      <c r="E13" s="25">
        <f>$C$13*'Assumptions'!$B$73</f>
        <v/>
      </c>
      <c r="F13" s="6">
        <f>$F$12+$D$13</f>
        <v/>
      </c>
      <c r="G13" s="25">
        <f>$G$12+$E$13</f>
        <v/>
      </c>
      <c r="H13" s="18">
        <f>$G$13/'Assumptions'!$B$73</f>
        <v/>
      </c>
      <c r="I13" s="25">
        <f>IF($J$13=0,0,$D$13/$J$13)</f>
        <v/>
      </c>
      <c r="J13" s="6" t="n">
        <v>2</v>
      </c>
    </row>
    <row r="14">
      <c r="A14" s="11" t="inlineStr">
        <is>
          <t>S3: Pre-Launch Soft Bookings</t>
        </is>
      </c>
      <c r="B14" s="5" t="inlineStr">
        <is>
          <t>Month 5</t>
        </is>
      </c>
      <c r="C14" s="18" t="n">
        <v>0.15</v>
      </c>
      <c r="D14" s="6">
        <f>ROUND($C$14*'Assumptions'!$B$74,0)</f>
        <v/>
      </c>
      <c r="E14" s="25">
        <f>$C$14*'Assumptions'!$B$73</f>
        <v/>
      </c>
      <c r="F14" s="6">
        <f>$F$13+$D$14</f>
        <v/>
      </c>
      <c r="G14" s="25">
        <f>$G$13+$E$14</f>
        <v/>
      </c>
      <c r="H14" s="18">
        <f>$G$14/'Assumptions'!$B$73</f>
        <v/>
      </c>
      <c r="I14" s="25">
        <f>IF($J$14=0,0,$D$14/$J$14)</f>
        <v/>
      </c>
      <c r="J14" s="6" t="n">
        <v>1</v>
      </c>
    </row>
    <row r="15">
      <c r="A15" s="11" t="inlineStr">
        <is>
          <t>S4: Public Launch (M6-M12)</t>
        </is>
      </c>
      <c r="B15" s="5" t="inlineStr">
        <is>
          <t>Month 6-12</t>
        </is>
      </c>
      <c r="C15" s="18" t="n">
        <v>0.27</v>
      </c>
      <c r="D15" s="6">
        <f>ROUND($C$15*'Assumptions'!$B$74,0)</f>
        <v/>
      </c>
      <c r="E15" s="25">
        <f>$C$15*'Assumptions'!$B$73</f>
        <v/>
      </c>
      <c r="F15" s="6">
        <f>$F$14+$D$15</f>
        <v/>
      </c>
      <c r="G15" s="25">
        <f>$G$14+$E$15</f>
        <v/>
      </c>
      <c r="H15" s="18">
        <f>$G$15/'Assumptions'!$B$73</f>
        <v/>
      </c>
      <c r="I15" s="25">
        <f>IF($J$15=0,0,$D$15/$J$15)</f>
        <v/>
      </c>
      <c r="J15" s="6" t="n">
        <v>7</v>
      </c>
    </row>
    <row r="16">
      <c r="A16" s="11" t="inlineStr">
        <is>
          <t>S4: Sustenance (M13-M24)</t>
        </is>
      </c>
      <c r="B16" s="5" t="inlineStr">
        <is>
          <t>Month 13-24</t>
        </is>
      </c>
      <c r="C16" s="18" t="n">
        <v>0.31</v>
      </c>
      <c r="D16" s="6">
        <f>ROUND($C$16*'Assumptions'!$B$74,0)</f>
        <v/>
      </c>
      <c r="E16" s="25">
        <f>$C$16*'Assumptions'!$B$73</f>
        <v/>
      </c>
      <c r="F16" s="6">
        <f>$F$15+$D$16</f>
        <v/>
      </c>
      <c r="G16" s="25">
        <f>$G$15+$E$16</f>
        <v/>
      </c>
      <c r="H16" s="18">
        <f>$G$16/'Assumptions'!$B$73</f>
        <v/>
      </c>
      <c r="I16" s="25">
        <f>IF($J$16=0,0,$D$16/$J$16)</f>
        <v/>
      </c>
      <c r="J16" s="6" t="n">
        <v>12</v>
      </c>
    </row>
    <row r="17">
      <c r="A17" s="11" t="inlineStr">
        <is>
          <t>S4: Sustenance (M25-M36)</t>
        </is>
      </c>
      <c r="B17" s="5" t="inlineStr">
        <is>
          <t>Month 25-36</t>
        </is>
      </c>
      <c r="C17" s="18" t="n">
        <v>0.205</v>
      </c>
      <c r="D17" s="6">
        <f>ROUND($C$17*'Assumptions'!$B$74,0)</f>
        <v/>
      </c>
      <c r="E17" s="25">
        <f>$C$17*'Assumptions'!$B$73</f>
        <v/>
      </c>
      <c r="F17" s="6">
        <f>$F$16+$D$17</f>
        <v/>
      </c>
      <c r="G17" s="25">
        <f>$G$16+$E$17</f>
        <v/>
      </c>
      <c r="H17" s="18">
        <f>$G$17/'Assumptions'!$B$73</f>
        <v/>
      </c>
      <c r="I17" s="25">
        <f>IF($J$17=0,0,$D$17/$J$17)</f>
        <v/>
      </c>
      <c r="J17" s="6" t="n">
        <v>12</v>
      </c>
    </row>
    <row r="18">
      <c r="A18" s="11" t="inlineStr">
        <is>
          <t>S4: Wrapex &amp; Final</t>
        </is>
      </c>
      <c r="B18" s="5" t="inlineStr">
        <is>
          <t>Month 37-42</t>
        </is>
      </c>
      <c r="C18" s="18" t="n">
        <v>0.065</v>
      </c>
      <c r="D18" s="6">
        <f>ROUND($C$18*'Assumptions'!$B$74,0)</f>
        <v/>
      </c>
      <c r="E18" s="25">
        <f>$C$18*'Assumptions'!$B$73</f>
        <v/>
      </c>
      <c r="F18" s="6">
        <f>$F$17+$D$18</f>
        <v/>
      </c>
      <c r="G18" s="25">
        <f>$G$17+$E$18</f>
        <v/>
      </c>
      <c r="H18" s="18">
        <f>$G$18/'Assumptions'!$B$73</f>
        <v/>
      </c>
      <c r="I18" s="25">
        <f>IF($J$18=0,0,$D$18/$J$18)</f>
        <v/>
      </c>
      <c r="J18" s="6" t="n">
        <v>6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086C3"/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8" customWidth="1" min="3" max="3"/>
    <col width="13" customWidth="1" min="4" max="4"/>
    <col width="18" customWidth="1" min="5" max="5"/>
    <col width="2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1" t="inlineStr">
        <is>
          <t>Project Cost Structure &amp; Developer P&amp;L</t>
        </is>
      </c>
    </row>
    <row r="2">
      <c r="A2" s="2" t="inlineStr">
        <is>
          <t>All costs computed from Assumptions inputs. Change rates to see P&amp;L impact.</t>
        </is>
      </c>
    </row>
    <row r="3"/>
    <row r="4" ht="28" customHeight="1">
      <c r="A4" s="26" t="inlineStr">
        <is>
          <t>Cost Category</t>
        </is>
      </c>
      <c r="B4" s="26" t="inlineStr">
        <is>
          <t>Rate / Basis</t>
        </is>
      </c>
      <c r="C4" s="26" t="inlineStr">
        <is>
          <t>Total Cost (Cr)</t>
        </is>
      </c>
      <c r="D4" s="26" t="inlineStr">
        <is>
          <t>% of GTV</t>
        </is>
      </c>
      <c r="E4" s="26" t="inlineStr">
        <is>
          <t>% of Total Cost</t>
        </is>
      </c>
      <c r="F4" s="26" t="inlineStr">
        <is>
          <t>Notes</t>
        </is>
      </c>
    </row>
    <row r="5">
      <c r="A5" s="5" t="inlineStr">
        <is>
          <t>Land Acquisition (Equity)</t>
        </is>
      </c>
      <c r="B5" s="5">
        <f>'Assumptions'!$B$29&amp;" Rs/sft"</f>
        <v/>
      </c>
      <c r="C5" s="9">
        <f>'Assumptions'!$B$78</f>
        <v/>
      </c>
      <c r="D5" s="18">
        <f>'Assumptions'!$B$78/'Assumptions'!$B$73</f>
        <v/>
      </c>
      <c r="E5" s="18">
        <f>IF('Assumptions'!$B$91=0,0,ABS($C$5)/'Assumptions'!$B$91)</f>
        <v/>
      </c>
      <c r="F5" s="5" t="inlineStr">
        <is>
          <t>Upfront equity outlay</t>
        </is>
      </c>
    </row>
    <row r="6">
      <c r="A6" s="5" t="inlineStr">
        <is>
          <t>Construction Cost (All-in)</t>
        </is>
      </c>
      <c r="B6" s="5">
        <f>'Assumptions'!$B$30&amp;" Rs/sft"</f>
        <v/>
      </c>
      <c r="C6" s="9">
        <f>'Assumptions'!$B$79</f>
        <v/>
      </c>
      <c r="D6" s="18">
        <f>'Assumptions'!$B$79/'Assumptions'!$B$73</f>
        <v/>
      </c>
      <c r="E6" s="18">
        <f>IF('Assumptions'!$B$91=0,0,ABS($C$6)/'Assumptions'!$B$91)</f>
        <v/>
      </c>
      <c r="F6" s="5" t="inlineStr">
        <is>
          <t>Incl. amenities, MEP</t>
        </is>
      </c>
    </row>
    <row r="7">
      <c r="A7" s="12" t="inlineStr">
        <is>
          <t>TOTAL HARD COSTS</t>
        </is>
      </c>
      <c r="B7" s="12" t="inlineStr"/>
      <c r="C7" s="13">
        <f>'Assumptions'!$B$80</f>
        <v/>
      </c>
      <c r="D7" s="27">
        <f>'Assumptions'!$B$80/'Assumptions'!$B$73</f>
        <v/>
      </c>
      <c r="E7" s="27">
        <f>IF('Assumptions'!$B$91=0,0,ABS($C$7)/'Assumptions'!$B$91)</f>
        <v/>
      </c>
      <c r="F7" s="12" t="inlineStr"/>
    </row>
    <row r="8">
      <c r="A8" s="5" t="inlineStr"/>
      <c r="B8" s="5" t="inlineStr"/>
      <c r="C8" s="9" t="n"/>
      <c r="D8" s="18" t="n"/>
      <c r="F8" s="5" t="inlineStr"/>
    </row>
    <row r="9">
      <c r="A9" s="5" t="inlineStr">
        <is>
          <t>Statutory &amp; Approvals</t>
        </is>
      </c>
      <c r="B9" s="5" t="inlineStr">
        <is>
          <t>Fixed</t>
        </is>
      </c>
      <c r="C9" s="9">
        <f>'Assumptions'!$B$31</f>
        <v/>
      </c>
      <c r="D9" s="18">
        <f>'Assumptions'!$B$31/'Assumptions'!$B$73</f>
        <v/>
      </c>
      <c r="E9" s="18">
        <f>IF('Assumptions'!$B$91=0,0,ABS($C$9)/'Assumptions'!$B$91)</f>
        <v/>
      </c>
      <c r="F9" s="5" t="inlineStr">
        <is>
          <t>RERA, BDA, BBMP</t>
        </is>
      </c>
    </row>
    <row r="10">
      <c r="A10" s="5" t="inlineStr">
        <is>
          <t>Contingency</t>
        </is>
      </c>
      <c r="B10" s="5">
        <f>'Assumptions'!$B$32&amp;"% of hard costs"</f>
        <v/>
      </c>
      <c r="C10" s="9">
        <f>'Assumptions'!$B$81</f>
        <v/>
      </c>
      <c r="D10" s="18">
        <f>'Assumptions'!$B$81/'Assumptions'!$B$73</f>
        <v/>
      </c>
      <c r="E10" s="18">
        <f>IF('Assumptions'!$B$91=0,0,ABS($C$10)/'Assumptions'!$B$91)</f>
        <v/>
      </c>
      <c r="F10" s="5" t="inlineStr">
        <is>
          <t>Risk buffer</t>
        </is>
      </c>
    </row>
    <row r="11">
      <c r="A11" s="5" t="inlineStr"/>
      <c r="B11" s="5" t="inlineStr"/>
      <c r="C11" s="9" t="n"/>
      <c r="D11" s="18" t="n"/>
      <c r="F11" s="5" t="inlineStr"/>
    </row>
    <row r="12">
      <c r="A12" s="5" t="inlineStr">
        <is>
          <t>Anarock Brokerage</t>
        </is>
      </c>
      <c r="B12" s="5">
        <f>'Assumptions'!$B$40&amp;"% of GTV"</f>
        <v/>
      </c>
      <c r="C12" s="9">
        <f>'Assumptions'!$B$83</f>
        <v/>
      </c>
      <c r="D12" s="18">
        <f>'Assumptions'!$B$83/'Assumptions'!$B$73</f>
        <v/>
      </c>
      <c r="E12" s="18">
        <f>IF('Assumptions'!$B$91=0,0,ABS($C$12)/'Assumptions'!$B$91)</f>
        <v/>
      </c>
      <c r="F12" s="5" t="inlineStr">
        <is>
          <t>Per sale closure</t>
        </is>
      </c>
    </row>
    <row r="13">
      <c r="A13" s="5" t="inlineStr">
        <is>
          <t>Anarock Marketing</t>
        </is>
      </c>
      <c r="B13" s="5">
        <f>'Assumptions'!$B$41&amp;"% of GTV"</f>
        <v/>
      </c>
      <c r="C13" s="9">
        <f>'Assumptions'!$B$84</f>
        <v/>
      </c>
      <c r="D13" s="18">
        <f>'Assumptions'!$B$84/'Assumptions'!$B$73</f>
        <v/>
      </c>
      <c r="E13" s="18">
        <f>IF('Assumptions'!$B$91=0,0,ABS($C$13)/'Assumptions'!$B$91)</f>
        <v/>
      </c>
      <c r="F13" s="5" t="inlineStr">
        <is>
          <t>Digital + OOH</t>
        </is>
      </c>
    </row>
    <row r="14">
      <c r="A14" s="5" t="inlineStr">
        <is>
          <t>AI Platform License</t>
        </is>
      </c>
      <c r="B14" s="5">
        <f>'Assumptions'!$B$42&amp;" L/mo x 42 mo"</f>
        <v/>
      </c>
      <c r="C14" s="9">
        <f>'Assumptions'!$B$85</f>
        <v/>
      </c>
      <c r="D14" s="18">
        <f>'Assumptions'!$B$85/'Assumptions'!$B$73</f>
        <v/>
      </c>
      <c r="E14" s="18">
        <f>IF('Assumptions'!$B$91=0,0,ABS($C$14)/'Assumptions'!$B$91)</f>
        <v/>
      </c>
      <c r="F14" s="5" t="inlineStr">
        <is>
          <t>Astra, Genie, CP Ranker</t>
        </is>
      </c>
    </row>
    <row r="15">
      <c r="A15" s="5" t="inlineStr">
        <is>
          <t>CP Mobilization</t>
        </is>
      </c>
      <c r="B15" s="5" t="inlineStr">
        <is>
          <t>One-time</t>
        </is>
      </c>
      <c r="C15" s="9">
        <f>'Assumptions'!$B$86</f>
        <v/>
      </c>
      <c r="D15" s="18">
        <f>'Assumptions'!$B$86/'Assumptions'!$B$73</f>
        <v/>
      </c>
      <c r="E15" s="18">
        <f>IF('Assumptions'!$B$91=0,0,ABS($C$15)/'Assumptions'!$B$91)</f>
        <v/>
      </c>
      <c r="F15" s="5" t="inlineStr">
        <is>
          <t>Broker onboarding</t>
        </is>
      </c>
    </row>
    <row r="16">
      <c r="A16" s="5" t="inlineStr">
        <is>
          <t>Performance Bonus</t>
        </is>
      </c>
      <c r="B16" s="5">
        <f>'Assumptions'!$B$44&amp;"% of GTV"</f>
        <v/>
      </c>
      <c r="C16" s="9">
        <f>'Assumptions'!$B$87</f>
        <v/>
      </c>
      <c r="D16" s="18">
        <f>'Assumptions'!$B$87/'Assumptions'!$B$73</f>
        <v/>
      </c>
      <c r="E16" s="18">
        <f>IF('Assumptions'!$B$91=0,0,ABS($C$16)/'Assumptions'!$B$91)</f>
        <v/>
      </c>
      <c r="F16" s="5" t="inlineStr">
        <is>
          <t>If velocity &gt;15/mo</t>
        </is>
      </c>
    </row>
    <row r="17">
      <c r="A17" s="12" t="inlineStr">
        <is>
          <t>TOTAL ANAROCK GTM COST</t>
        </is>
      </c>
      <c r="B17" s="12" t="inlineStr"/>
      <c r="C17" s="13">
        <f>'Assumptions'!$B$88</f>
        <v/>
      </c>
      <c r="D17" s="27">
        <f>'Assumptions'!$B$88/'Assumptions'!$B$73</f>
        <v/>
      </c>
      <c r="E17" s="27">
        <f>IF('Assumptions'!$B$91=0,0,ABS($C$17)/'Assumptions'!$B$91)</f>
        <v/>
      </c>
      <c r="F17" s="12" t="inlineStr"/>
    </row>
    <row r="18">
      <c r="A18" s="5" t="inlineStr"/>
      <c r="B18" s="5" t="inlineStr"/>
      <c r="C18" s="9" t="n"/>
      <c r="D18" s="18" t="n"/>
      <c r="F18" s="5" t="inlineStr"/>
    </row>
    <row r="19">
      <c r="A19" s="12" t="inlineStr">
        <is>
          <t>TOTAL PROJECT COST</t>
        </is>
      </c>
      <c r="B19" s="12" t="inlineStr"/>
      <c r="C19" s="13">
        <f>'Assumptions'!$B$91</f>
        <v/>
      </c>
      <c r="D19" s="27">
        <f>'Assumptions'!$B$91/'Assumptions'!$B$73</f>
        <v/>
      </c>
      <c r="E19" s="28" t="n"/>
      <c r="F19" s="12" t="inlineStr"/>
    </row>
    <row r="20">
      <c r="A20" s="5" t="inlineStr"/>
      <c r="B20" s="5" t="inlineStr"/>
      <c r="C20" s="9" t="n"/>
      <c r="D20" s="18" t="n"/>
      <c r="F20" s="5" t="inlineStr"/>
    </row>
    <row r="21">
      <c r="A21" s="12" t="inlineStr">
        <is>
          <t>GROSS REVENUE (GTV)</t>
        </is>
      </c>
      <c r="B21" s="12" t="inlineStr"/>
      <c r="C21" s="13">
        <f>'Assumptions'!$B$73</f>
        <v/>
      </c>
      <c r="D21" s="27" t="n">
        <v>1</v>
      </c>
      <c r="E21" s="28" t="n"/>
      <c r="F21" s="12" t="inlineStr"/>
    </row>
    <row r="22">
      <c r="A22" s="5" t="inlineStr">
        <is>
          <t>(-) Total Project Cost</t>
        </is>
      </c>
      <c r="B22" s="5" t="inlineStr"/>
      <c r="C22" s="9">
        <f>-'Assumptions'!$B$91</f>
        <v/>
      </c>
      <c r="D22" s="18">
        <f>-'Assumptions'!$B$91/'Assumptions'!$B$73</f>
        <v/>
      </c>
      <c r="F22" s="5" t="inlineStr"/>
    </row>
    <row r="23">
      <c r="A23" s="15" t="inlineStr">
        <is>
          <t>DEVELOPER NET PROFIT</t>
        </is>
      </c>
      <c r="B23" s="15" t="inlineStr"/>
      <c r="C23" s="16">
        <f>'Assumptions'!$B$92</f>
        <v/>
      </c>
      <c r="D23" s="29">
        <f>'Assumptions'!$B$92/'Assumptions'!$B$73</f>
        <v/>
      </c>
      <c r="E23" s="30" t="n"/>
      <c r="F23" s="15" t="inlineStr"/>
    </row>
    <row r="24">
      <c r="A24" s="15" t="inlineStr">
        <is>
          <t>NET MARGIN %</t>
        </is>
      </c>
      <c r="B24" s="15" t="inlineStr"/>
      <c r="C24" s="16">
        <f>'Assumptions'!$B$93/100</f>
        <v/>
      </c>
      <c r="D24" s="29" t="n"/>
      <c r="E24" s="30" t="n"/>
      <c r="F24" s="1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22" customWidth="1" min="3" max="3"/>
    <col width="15" customWidth="1" min="4" max="4"/>
    <col width="13" customWidth="1" min="5" max="5"/>
    <col width="20" customWidth="1" min="6" max="6"/>
    <col width="24" customWidth="1" min="7" max="7"/>
    <col width="20" customWidth="1" min="8" max="8"/>
    <col width="21" customWidth="1" min="9" max="9"/>
    <col width="21" customWidth="1" min="10" max="10"/>
    <col width="19" customWidth="1" min="11" max="11"/>
  </cols>
  <sheetData>
    <row r="1" ht="30" customHeight="1">
      <c r="A1" s="1" t="inlineStr">
        <is>
          <t>Quarterly Cash Flow Projection -- 48 Month Lifecycle</t>
        </is>
      </c>
    </row>
    <row r="2">
      <c r="A2" s="2" t="inlineStr">
        <is>
          <t>Inflows from sales, outflows for construction &amp; GTM. Cumulative computed via formulas.</t>
        </is>
      </c>
    </row>
    <row r="3"/>
    <row r="4" ht="28" customHeight="1">
      <c r="A4" s="10" t="inlineStr">
        <is>
          <t>Quarter</t>
        </is>
      </c>
      <c r="B4" s="10" t="inlineStr">
        <is>
          <t>Months</t>
        </is>
      </c>
      <c r="C4" s="10" t="inlineStr">
        <is>
          <t>GTM Stage</t>
        </is>
      </c>
      <c r="D4" s="10" t="inlineStr">
        <is>
          <t>% Units Sold</t>
        </is>
      </c>
      <c r="E4" s="10" t="inlineStr">
        <is>
          <t>Units Sold</t>
        </is>
      </c>
      <c r="F4" s="10" t="inlineStr">
        <is>
          <t>Sale Revenue (Cr)</t>
        </is>
      </c>
      <c r="G4" s="10" t="inlineStr">
        <is>
          <t>Construction Out (Cr)</t>
        </is>
      </c>
      <c r="H4" s="10" t="inlineStr">
        <is>
          <t>GTM Cost Out (Cr)</t>
        </is>
      </c>
      <c r="I4" s="10" t="inlineStr">
        <is>
          <t>Net Cash Flow (Cr)</t>
        </is>
      </c>
      <c r="J4" s="10" t="inlineStr">
        <is>
          <t>Cumulative CF (Cr)</t>
        </is>
      </c>
      <c r="K4" s="10" t="inlineStr">
        <is>
          <t>Cumulative Units</t>
        </is>
      </c>
    </row>
    <row r="5">
      <c r="A5" s="11" t="inlineStr">
        <is>
          <t>Q1</t>
        </is>
      </c>
      <c r="B5" s="5" t="inlineStr">
        <is>
          <t>M1-M3</t>
        </is>
      </c>
      <c r="C5" s="5" t="inlineStr">
        <is>
          <t>S1: Discovery</t>
        </is>
      </c>
      <c r="D5" s="18" t="n">
        <v>0</v>
      </c>
      <c r="E5" s="6">
        <f>ROUND($D$5*'Assumptions'!$B$74,0)</f>
        <v/>
      </c>
      <c r="F5" s="25">
        <f>$D$5*'Assumptions'!$B$73</f>
        <v/>
      </c>
      <c r="G5" s="25">
        <f>'Assumptions'!$B$79*0.0</f>
        <v/>
      </c>
      <c r="H5" s="9">
        <f>'Assumptions'!$B$88*(80/2750)</f>
        <v/>
      </c>
      <c r="I5" s="25">
        <f>$F$5-$G$5-$H$5</f>
        <v/>
      </c>
      <c r="J5" s="25">
        <f>$I$5</f>
        <v/>
      </c>
      <c r="K5" s="6">
        <f>$E$5</f>
        <v/>
      </c>
    </row>
    <row r="6">
      <c r="A6" s="31" t="inlineStr">
        <is>
          <t>Q2</t>
        </is>
      </c>
      <c r="B6" s="32" t="inlineStr">
        <is>
          <t>M4-M6</t>
        </is>
      </c>
      <c r="C6" s="32" t="inlineStr">
        <is>
          <t>S2-S3: Prep + Soft</t>
        </is>
      </c>
      <c r="D6" s="33" t="n">
        <v>0.15</v>
      </c>
      <c r="E6" s="34">
        <f>ROUND($D$6*'Assumptions'!$B$74,0)</f>
        <v/>
      </c>
      <c r="F6" s="35">
        <f>$D$6*'Assumptions'!$B$73</f>
        <v/>
      </c>
      <c r="G6" s="35">
        <f>'Assumptions'!$B$79*0.083</f>
        <v/>
      </c>
      <c r="H6" s="36">
        <f>'Assumptions'!$B$88*(320/2750)</f>
        <v/>
      </c>
      <c r="I6" s="35">
        <f>$F$6-$G$6-$H$6</f>
        <v/>
      </c>
      <c r="J6" s="35">
        <f>$J$5+$I$6</f>
        <v/>
      </c>
      <c r="K6" s="34">
        <f>$K$5+$E$6</f>
        <v/>
      </c>
    </row>
    <row r="7">
      <c r="A7" s="11" t="inlineStr">
        <is>
          <t>Q3</t>
        </is>
      </c>
      <c r="B7" s="5" t="inlineStr">
        <is>
          <t>M7-M9</t>
        </is>
      </c>
      <c r="C7" s="5" t="inlineStr">
        <is>
          <t>S4: Public Launch</t>
        </is>
      </c>
      <c r="D7" s="18" t="n">
        <v>0.11</v>
      </c>
      <c r="E7" s="6">
        <f>ROUND($D$7*'Assumptions'!$B$74,0)</f>
        <v/>
      </c>
      <c r="F7" s="25">
        <f>$D$7*'Assumptions'!$B$73</f>
        <v/>
      </c>
      <c r="G7" s="25">
        <f>'Assumptions'!$B$79*0.083</f>
        <v/>
      </c>
      <c r="H7" s="9">
        <f>'Assumptions'!$B$88*(450/2750)</f>
        <v/>
      </c>
      <c r="I7" s="25">
        <f>$F$7-$G$7-$H$7</f>
        <v/>
      </c>
      <c r="J7" s="25">
        <f>$J$6+$I$7</f>
        <v/>
      </c>
      <c r="K7" s="6">
        <f>$K$6+$E$7</f>
        <v/>
      </c>
    </row>
    <row r="8">
      <c r="A8" s="31" t="inlineStr">
        <is>
          <t>Q4</t>
        </is>
      </c>
      <c r="B8" s="32" t="inlineStr">
        <is>
          <t>M10-M12</t>
        </is>
      </c>
      <c r="C8" s="32" t="inlineStr">
        <is>
          <t>S4: Launch Momentum</t>
        </is>
      </c>
      <c r="D8" s="33" t="n">
        <v>0.16</v>
      </c>
      <c r="E8" s="34">
        <f>ROUND($D$8*'Assumptions'!$B$74,0)</f>
        <v/>
      </c>
      <c r="F8" s="35">
        <f>$D$8*'Assumptions'!$B$73</f>
        <v/>
      </c>
      <c r="G8" s="35">
        <f>'Assumptions'!$B$79*0.083</f>
        <v/>
      </c>
      <c r="H8" s="36">
        <f>'Assumptions'!$B$88*(420/2750)</f>
        <v/>
      </c>
      <c r="I8" s="35">
        <f>$F$8-$G$8-$H$8</f>
        <v/>
      </c>
      <c r="J8" s="35">
        <f>$J$7+$I$8</f>
        <v/>
      </c>
      <c r="K8" s="34">
        <f>$K$7+$E$8</f>
        <v/>
      </c>
    </row>
    <row r="9">
      <c r="A9" s="11" t="inlineStr">
        <is>
          <t>Q5</t>
        </is>
      </c>
      <c r="B9" s="5" t="inlineStr">
        <is>
          <t>M13-M15</t>
        </is>
      </c>
      <c r="C9" s="5" t="inlineStr">
        <is>
          <t>S4: Sustenance</t>
        </is>
      </c>
      <c r="D9" s="18" t="n">
        <v>0.09</v>
      </c>
      <c r="E9" s="6">
        <f>ROUND($D$9*'Assumptions'!$B$74,0)</f>
        <v/>
      </c>
      <c r="F9" s="25">
        <f>$D$9*'Assumptions'!$B$73</f>
        <v/>
      </c>
      <c r="G9" s="25">
        <f>'Assumptions'!$B$79*0.083</f>
        <v/>
      </c>
      <c r="H9" s="9">
        <f>'Assumptions'!$B$88*(280/2750)</f>
        <v/>
      </c>
      <c r="I9" s="25">
        <f>$F$9-$G$9-$H$9</f>
        <v/>
      </c>
      <c r="J9" s="25">
        <f>$J$8+$I$9</f>
        <v/>
      </c>
      <c r="K9" s="6">
        <f>$K$8+$E$9</f>
        <v/>
      </c>
    </row>
    <row r="10">
      <c r="A10" s="31" t="inlineStr">
        <is>
          <t>Q6</t>
        </is>
      </c>
      <c r="B10" s="32" t="inlineStr">
        <is>
          <t>M16-M18</t>
        </is>
      </c>
      <c r="C10" s="32" t="inlineStr">
        <is>
          <t>S4: Sustenance</t>
        </is>
      </c>
      <c r="D10" s="33" t="n">
        <v>0.08</v>
      </c>
      <c r="E10" s="34">
        <f>ROUND($D$10*'Assumptions'!$B$74,0)</f>
        <v/>
      </c>
      <c r="F10" s="35">
        <f>$D$10*'Assumptions'!$B$73</f>
        <v/>
      </c>
      <c r="G10" s="35">
        <f>'Assumptions'!$B$79*0.083</f>
        <v/>
      </c>
      <c r="H10" s="36">
        <f>'Assumptions'!$B$88*(250/2750)</f>
        <v/>
      </c>
      <c r="I10" s="35">
        <f>$F$10-$G$10-$H$10</f>
        <v/>
      </c>
      <c r="J10" s="35">
        <f>$J$9+$I$10</f>
        <v/>
      </c>
      <c r="K10" s="34">
        <f>$K$9+$E$10</f>
        <v/>
      </c>
    </row>
    <row r="11">
      <c r="A11" s="11" t="inlineStr">
        <is>
          <t>Q7</t>
        </is>
      </c>
      <c r="B11" s="5" t="inlineStr">
        <is>
          <t>M19-M21</t>
        </is>
      </c>
      <c r="C11" s="5" t="inlineStr">
        <is>
          <t>S4: Sustenance</t>
        </is>
      </c>
      <c r="D11" s="18" t="n">
        <v>0.075</v>
      </c>
      <c r="E11" s="6">
        <f>ROUND($D$11*'Assumptions'!$B$74,0)</f>
        <v/>
      </c>
      <c r="F11" s="25">
        <f>$D$11*'Assumptions'!$B$73</f>
        <v/>
      </c>
      <c r="G11" s="25">
        <f>'Assumptions'!$B$79*0.083</f>
        <v/>
      </c>
      <c r="H11" s="9">
        <f>'Assumptions'!$B$88*(220/2750)</f>
        <v/>
      </c>
      <c r="I11" s="25">
        <f>$F$11-$G$11-$H$11</f>
        <v/>
      </c>
      <c r="J11" s="25">
        <f>$J$10+$I$11</f>
        <v/>
      </c>
      <c r="K11" s="6">
        <f>$K$10+$E$11</f>
        <v/>
      </c>
    </row>
    <row r="12">
      <c r="A12" s="31" t="inlineStr">
        <is>
          <t>Q8</t>
        </is>
      </c>
      <c r="B12" s="32" t="inlineStr">
        <is>
          <t>M22-M24</t>
        </is>
      </c>
      <c r="C12" s="32" t="inlineStr">
        <is>
          <t>S4: Sustenance</t>
        </is>
      </c>
      <c r="D12" s="33" t="n">
        <v>0.07000000000000001</v>
      </c>
      <c r="E12" s="34">
        <f>ROUND($D$12*'Assumptions'!$B$74,0)</f>
        <v/>
      </c>
      <c r="F12" s="35">
        <f>$D$12*'Assumptions'!$B$73</f>
        <v/>
      </c>
      <c r="G12" s="35">
        <f>'Assumptions'!$B$79*0.083</f>
        <v/>
      </c>
      <c r="H12" s="36">
        <f>'Assumptions'!$B$88*(200/2750)</f>
        <v/>
      </c>
      <c r="I12" s="35">
        <f>$F$12-$G$12-$H$12</f>
        <v/>
      </c>
      <c r="J12" s="35">
        <f>$J$11+$I$12</f>
        <v/>
      </c>
      <c r="K12" s="34">
        <f>$K$11+$E$12</f>
        <v/>
      </c>
    </row>
    <row r="13">
      <c r="A13" s="11" t="inlineStr">
        <is>
          <t>Q9</t>
        </is>
      </c>
      <c r="B13" s="5" t="inlineStr">
        <is>
          <t>M25-M27</t>
        </is>
      </c>
      <c r="C13" s="5" t="inlineStr">
        <is>
          <t>S4: Sustenance</t>
        </is>
      </c>
      <c r="D13" s="18" t="n">
        <v>0.06</v>
      </c>
      <c r="E13" s="6">
        <f>ROUND($D$13*'Assumptions'!$B$74,0)</f>
        <v/>
      </c>
      <c r="F13" s="25">
        <f>$D$13*'Assumptions'!$B$73</f>
        <v/>
      </c>
      <c r="G13" s="25">
        <f>'Assumptions'!$B$79*0.065</f>
        <v/>
      </c>
      <c r="H13" s="9">
        <f>'Assumptions'!$B$88*(150/2750)</f>
        <v/>
      </c>
      <c r="I13" s="25">
        <f>$F$13-$G$13-$H$13</f>
        <v/>
      </c>
      <c r="J13" s="25">
        <f>$J$12+$I$13</f>
        <v/>
      </c>
      <c r="K13" s="6">
        <f>$K$12+$E$13</f>
        <v/>
      </c>
    </row>
    <row r="14">
      <c r="A14" s="31" t="inlineStr">
        <is>
          <t>Q10</t>
        </is>
      </c>
      <c r="B14" s="32" t="inlineStr">
        <is>
          <t>M28-M30</t>
        </is>
      </c>
      <c r="C14" s="32" t="inlineStr">
        <is>
          <t>S4: Sustenance</t>
        </is>
      </c>
      <c r="D14" s="33" t="n">
        <v>0.055</v>
      </c>
      <c r="E14" s="34">
        <f>ROUND($D$14*'Assumptions'!$B$74,0)</f>
        <v/>
      </c>
      <c r="F14" s="35">
        <f>$D$14*'Assumptions'!$B$73</f>
        <v/>
      </c>
      <c r="G14" s="35">
        <f>'Assumptions'!$B$79*0.065</f>
        <v/>
      </c>
      <c r="H14" s="36">
        <f>'Assumptions'!$B$88*(120/2750)</f>
        <v/>
      </c>
      <c r="I14" s="35">
        <f>$F$14-$G$14-$H$14</f>
        <v/>
      </c>
      <c r="J14" s="35">
        <f>$J$13+$I$14</f>
        <v/>
      </c>
      <c r="K14" s="34">
        <f>$K$13+$E$14</f>
        <v/>
      </c>
    </row>
    <row r="15">
      <c r="A15" s="11" t="inlineStr">
        <is>
          <t>Q11</t>
        </is>
      </c>
      <c r="B15" s="5" t="inlineStr">
        <is>
          <t>M31-M33</t>
        </is>
      </c>
      <c r="C15" s="5" t="inlineStr">
        <is>
          <t>S4: Sustenance</t>
        </is>
      </c>
      <c r="D15" s="18" t="n">
        <v>0.05</v>
      </c>
      <c r="E15" s="6">
        <f>ROUND($D$15*'Assumptions'!$B$74,0)</f>
        <v/>
      </c>
      <c r="F15" s="25">
        <f>$D$15*'Assumptions'!$B$73</f>
        <v/>
      </c>
      <c r="G15" s="25">
        <f>'Assumptions'!$B$79*0.065</f>
        <v/>
      </c>
      <c r="H15" s="9">
        <f>'Assumptions'!$B$88*(100/2750)</f>
        <v/>
      </c>
      <c r="I15" s="25">
        <f>$F$15-$G$15-$H$15</f>
        <v/>
      </c>
      <c r="J15" s="25">
        <f>$J$14+$I$15</f>
        <v/>
      </c>
      <c r="K15" s="6">
        <f>$K$14+$E$15</f>
        <v/>
      </c>
    </row>
    <row r="16">
      <c r="A16" s="31" t="inlineStr">
        <is>
          <t>Q12</t>
        </is>
      </c>
      <c r="B16" s="32" t="inlineStr">
        <is>
          <t>M34-M36</t>
        </is>
      </c>
      <c r="C16" s="32" t="inlineStr">
        <is>
          <t>S4: Winding Down</t>
        </is>
      </c>
      <c r="D16" s="33" t="n">
        <v>0.04</v>
      </c>
      <c r="E16" s="34">
        <f>ROUND($D$16*'Assumptions'!$B$74,0)</f>
        <v/>
      </c>
      <c r="F16" s="35">
        <f>$D$16*'Assumptions'!$B$73</f>
        <v/>
      </c>
      <c r="G16" s="35">
        <f>'Assumptions'!$B$79*0.065</f>
        <v/>
      </c>
      <c r="H16" s="36">
        <f>'Assumptions'!$B$88*(80/2750)</f>
        <v/>
      </c>
      <c r="I16" s="35">
        <f>$F$16-$G$16-$H$16</f>
        <v/>
      </c>
      <c r="J16" s="35">
        <f>$J$15+$I$16</f>
        <v/>
      </c>
      <c r="K16" s="34">
        <f>$K$15+$E$16</f>
        <v/>
      </c>
    </row>
    <row r="17">
      <c r="A17" s="11" t="inlineStr">
        <is>
          <t>Q13</t>
        </is>
      </c>
      <c r="B17" s="5" t="inlineStr">
        <is>
          <t>M37-M39</t>
        </is>
      </c>
      <c r="C17" s="5" t="inlineStr">
        <is>
          <t>Wrapex</t>
        </is>
      </c>
      <c r="D17" s="18" t="n">
        <v>0.035</v>
      </c>
      <c r="E17" s="6">
        <f>ROUND($D$17*'Assumptions'!$B$74,0)</f>
        <v/>
      </c>
      <c r="F17" s="25">
        <f>$D$17*'Assumptions'!$B$73</f>
        <v/>
      </c>
      <c r="G17" s="25">
        <f>'Assumptions'!$B$79*0.054000000000000006</f>
        <v/>
      </c>
      <c r="H17" s="9">
        <f>'Assumptions'!$B$88*(50/2750)</f>
        <v/>
      </c>
      <c r="I17" s="25">
        <f>$F$17-$G$17-$H$17</f>
        <v/>
      </c>
      <c r="J17" s="25">
        <f>$J$16+$I$17</f>
        <v/>
      </c>
      <c r="K17" s="6">
        <f>$K$16+$E$17</f>
        <v/>
      </c>
    </row>
    <row r="18">
      <c r="A18" s="31" t="inlineStr">
        <is>
          <t>Q14</t>
        </is>
      </c>
      <c r="B18" s="32" t="inlineStr">
        <is>
          <t>M40-M42</t>
        </is>
      </c>
      <c r="C18" s="32" t="inlineStr">
        <is>
          <t>Wrapex</t>
        </is>
      </c>
      <c r="D18" s="33" t="n">
        <v>0.025</v>
      </c>
      <c r="E18" s="34">
        <f>ROUND($D$18*'Assumptions'!$B$74,0)</f>
        <v/>
      </c>
      <c r="F18" s="35">
        <f>$D$18*'Assumptions'!$B$73</f>
        <v/>
      </c>
      <c r="G18" s="35">
        <f>'Assumptions'!$B$79*0.054000000000000006</f>
        <v/>
      </c>
      <c r="H18" s="36">
        <f>'Assumptions'!$B$88*(30/2750)</f>
        <v/>
      </c>
      <c r="I18" s="35">
        <f>$F$18-$G$18-$H$18</f>
        <v/>
      </c>
      <c r="J18" s="35">
        <f>$J$17+$I$18</f>
        <v/>
      </c>
      <c r="K18" s="34">
        <f>$K$17+$E$18</f>
        <v/>
      </c>
    </row>
    <row r="19">
      <c r="A19" s="11" t="inlineStr">
        <is>
          <t>Q15</t>
        </is>
      </c>
      <c r="B19" s="5" t="inlineStr">
        <is>
          <t>M43-M45</t>
        </is>
      </c>
      <c r="C19" s="5" t="inlineStr">
        <is>
          <t>Handover</t>
        </is>
      </c>
      <c r="D19" s="18" t="n">
        <v>0</v>
      </c>
      <c r="E19" s="6">
        <f>ROUND($D$19*'Assumptions'!$B$74,0)</f>
        <v/>
      </c>
      <c r="F19" s="25">
        <f>$D$19*'Assumptions'!$B$73</f>
        <v/>
      </c>
      <c r="G19" s="25">
        <f>'Assumptions'!$B$79*0.03</f>
        <v/>
      </c>
      <c r="H19" s="9">
        <f>'Assumptions'!$B$88*(0/2750)</f>
        <v/>
      </c>
      <c r="I19" s="25">
        <f>$F$19-$G$19-$H$19</f>
        <v/>
      </c>
      <c r="J19" s="25">
        <f>$J$18+$I$19</f>
        <v/>
      </c>
      <c r="K19" s="6">
        <f>$K$18+$E$19</f>
        <v/>
      </c>
    </row>
    <row r="20">
      <c r="A20" s="31" t="inlineStr">
        <is>
          <t>Q16</t>
        </is>
      </c>
      <c r="B20" s="32" t="inlineStr">
        <is>
          <t>M46-M48</t>
        </is>
      </c>
      <c r="C20" s="32" t="inlineStr">
        <is>
          <t>Final Handover</t>
        </is>
      </c>
      <c r="D20" s="33" t="n">
        <v>0</v>
      </c>
      <c r="E20" s="34">
        <f>ROUND($D$20*'Assumptions'!$B$74,0)</f>
        <v/>
      </c>
      <c r="F20" s="35">
        <f>$D$20*'Assumptions'!$B$73</f>
        <v/>
      </c>
      <c r="G20" s="35">
        <f>'Assumptions'!$B$79*0.018000000000000002</f>
        <v/>
      </c>
      <c r="H20" s="36">
        <f>'Assumptions'!$B$88*(0/2750)</f>
        <v/>
      </c>
      <c r="I20" s="35">
        <f>$F$20-$G$20-$H$20</f>
        <v/>
      </c>
      <c r="J20" s="35">
        <f>$J$19+$I$20</f>
        <v/>
      </c>
      <c r="K20" s="34">
        <f>$K$19+$E$20</f>
        <v/>
      </c>
    </row>
    <row r="21">
      <c r="A21" s="12" t="inlineStr">
        <is>
          <t>TOTAL</t>
        </is>
      </c>
      <c r="B21" s="28" t="n"/>
      <c r="C21" s="28" t="n"/>
      <c r="D21" s="27">
        <f>SUM($D$5:$D$20)</f>
        <v/>
      </c>
      <c r="E21" s="37">
        <f>SUM($E$5:$E$20)</f>
        <v/>
      </c>
      <c r="F21" s="38">
        <f>SUM($F$5:$F$20)</f>
        <v/>
      </c>
      <c r="G21" s="38">
        <f>SUM($G$5:$G$20)</f>
        <v/>
      </c>
      <c r="H21" s="38">
        <f>SUM($H$5:$H$20)</f>
        <v/>
      </c>
      <c r="I21" s="38">
        <f>SUM($I$5:$I$20)</f>
        <v/>
      </c>
      <c r="J21" s="28" t="n"/>
      <c r="K21" s="28" t="n"/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D4AF37"/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3" customWidth="1" min="3" max="3"/>
    <col width="19" customWidth="1" min="4" max="4"/>
    <col width="23" customWidth="1" min="5" max="5"/>
    <col width="18" customWidth="1" min="6" max="6"/>
    <col width="13" customWidth="1" min="7" max="7"/>
    <col width="14" customWidth="1" min="8" max="8"/>
    <col width="13" customWidth="1" min="9" max="9"/>
    <col width="13" customWidth="1" min="10" max="10"/>
  </cols>
  <sheetData>
    <row r="1" ht="30" customHeight="1">
      <c r="A1" s="1" t="inlineStr">
        <is>
          <t>Developer Equity IRR &amp; DSCR Sensitivity</t>
        </is>
      </c>
    </row>
    <row r="2">
      <c r="A2" s="2" t="inlineStr">
        <is>
          <t>Matrix shows estimated IRR at various ASP x Velocity combos. Base case highlighted.</t>
        </is>
      </c>
    </row>
    <row r="3"/>
    <row r="4">
      <c r="A4" s="24" t="inlineStr">
        <is>
          <t>IRR Sensitivity Matrix -- ASP vs. Sales Velocity</t>
        </is>
      </c>
    </row>
    <row r="5" ht="35" customHeight="1">
      <c r="A5" s="39" t="inlineStr">
        <is>
          <t>ASP \ Velocity</t>
        </is>
      </c>
      <c r="B5" s="39" t="inlineStr">
        <is>
          <t>8 u/mo</t>
        </is>
      </c>
      <c r="C5" s="39" t="inlineStr">
        <is>
          <t>10 u/mo</t>
        </is>
      </c>
      <c r="D5" s="39" t="inlineStr">
        <is>
          <t>12 u/mo (Target)</t>
        </is>
      </c>
      <c r="E5" s="39" t="inlineStr">
        <is>
          <t>15 u/mo</t>
        </is>
      </c>
      <c r="F5" s="39" t="inlineStr">
        <is>
          <t>18 u/mo</t>
        </is>
      </c>
    </row>
    <row r="6">
      <c r="A6" s="40" t="inlineStr">
        <is>
          <t>Rs 8,500</t>
        </is>
      </c>
      <c r="B6" s="41">
        <f>((8500*'Assumptions'!$B$6/10000000 - 'Assumptions'!$B$80 - 'Assumptions'!$B$31 - 'Assumptions'!$B$81 - 'Assumptions'!$B$88) / 'Assumptions'!$B$78) / ('Assumptions'!$B$74/(8*12))</f>
        <v/>
      </c>
      <c r="C6" s="41">
        <f>((8500*'Assumptions'!$B$6/10000000 - 'Assumptions'!$B$80 - 'Assumptions'!$B$31 - 'Assumptions'!$B$81 - 'Assumptions'!$B$88) / 'Assumptions'!$B$78) / ('Assumptions'!$B$74/(10*12))</f>
        <v/>
      </c>
      <c r="D6" s="41">
        <f>((8500*'Assumptions'!$B$6/10000000 - 'Assumptions'!$B$80 - 'Assumptions'!$B$31 - 'Assumptions'!$B$81 - 'Assumptions'!$B$88) / 'Assumptions'!$B$78) / ('Assumptions'!$B$74/(12*12))</f>
        <v/>
      </c>
      <c r="E6" s="41">
        <f>((8500*'Assumptions'!$B$6/10000000 - 'Assumptions'!$B$80 - 'Assumptions'!$B$31 - 'Assumptions'!$B$81 - 'Assumptions'!$B$88) / 'Assumptions'!$B$78) / ('Assumptions'!$B$74/(15*12))</f>
        <v/>
      </c>
      <c r="F6" s="41">
        <f>((8500*'Assumptions'!$B$6/10000000 - 'Assumptions'!$B$80 - 'Assumptions'!$B$31 - 'Assumptions'!$B$81 - 'Assumptions'!$B$88) / 'Assumptions'!$B$78) / ('Assumptions'!$B$74/(18*12))</f>
        <v/>
      </c>
    </row>
    <row r="7">
      <c r="A7" s="40" t="inlineStr">
        <is>
          <t>Rs 9,200</t>
        </is>
      </c>
      <c r="B7" s="41">
        <f>((9200*'Assumptions'!$B$6/10000000 - 'Assumptions'!$B$80 - 'Assumptions'!$B$31 - 'Assumptions'!$B$81 - 'Assumptions'!$B$88) / 'Assumptions'!$B$78) / ('Assumptions'!$B$74/(8*12))</f>
        <v/>
      </c>
      <c r="C7" s="41">
        <f>((9200*'Assumptions'!$B$6/10000000 - 'Assumptions'!$B$80 - 'Assumptions'!$B$31 - 'Assumptions'!$B$81 - 'Assumptions'!$B$88) / 'Assumptions'!$B$78) / ('Assumptions'!$B$74/(10*12))</f>
        <v/>
      </c>
      <c r="D7" s="41">
        <f>((9200*'Assumptions'!$B$6/10000000 - 'Assumptions'!$B$80 - 'Assumptions'!$B$31 - 'Assumptions'!$B$81 - 'Assumptions'!$B$88) / 'Assumptions'!$B$78) / ('Assumptions'!$B$74/(12*12))</f>
        <v/>
      </c>
      <c r="E7" s="41">
        <f>((9200*'Assumptions'!$B$6/10000000 - 'Assumptions'!$B$80 - 'Assumptions'!$B$31 - 'Assumptions'!$B$81 - 'Assumptions'!$B$88) / 'Assumptions'!$B$78) / ('Assumptions'!$B$74/(15*12))</f>
        <v/>
      </c>
      <c r="F7" s="41">
        <f>((9200*'Assumptions'!$B$6/10000000 - 'Assumptions'!$B$80 - 'Assumptions'!$B$31 - 'Assumptions'!$B$81 - 'Assumptions'!$B$88) / 'Assumptions'!$B$78) / ('Assumptions'!$B$74/(18*12))</f>
        <v/>
      </c>
    </row>
    <row r="8">
      <c r="A8" s="40" t="inlineStr">
        <is>
          <t>Rs 10,200 (Base)</t>
        </is>
      </c>
      <c r="B8" s="41">
        <f>((10200*'Assumptions'!$B$6/10000000 - 'Assumptions'!$B$80 - 'Assumptions'!$B$31 - 'Assumptions'!$B$81 - 'Assumptions'!$B$88) / 'Assumptions'!$B$78) / ('Assumptions'!$B$74/(8*12))</f>
        <v/>
      </c>
      <c r="C8" s="41">
        <f>((10200*'Assumptions'!$B$6/10000000 - 'Assumptions'!$B$80 - 'Assumptions'!$B$31 - 'Assumptions'!$B$81 - 'Assumptions'!$B$88) / 'Assumptions'!$B$78) / ('Assumptions'!$B$74/(10*12))</f>
        <v/>
      </c>
      <c r="D8" s="42">
        <f>((10200*'Assumptions'!$B$6/10000000 - 'Assumptions'!$B$80 - 'Assumptions'!$B$31 - 'Assumptions'!$B$81 - 'Assumptions'!$B$88) / 'Assumptions'!$B$78) / ('Assumptions'!$B$74/(12*12))</f>
        <v/>
      </c>
      <c r="E8" s="43">
        <f>((10200*'Assumptions'!$B$6/10000000 - 'Assumptions'!$B$80 - 'Assumptions'!$B$31 - 'Assumptions'!$B$81 - 'Assumptions'!$B$88) / 'Assumptions'!$B$78) / ('Assumptions'!$B$74/(15*12))</f>
        <v/>
      </c>
      <c r="F8" s="43">
        <f>((10200*'Assumptions'!$B$6/10000000 - 'Assumptions'!$B$80 - 'Assumptions'!$B$31 - 'Assumptions'!$B$81 - 'Assumptions'!$B$88) / 'Assumptions'!$B$78) / ('Assumptions'!$B$74/(18*12))</f>
        <v/>
      </c>
    </row>
    <row r="9">
      <c r="A9" s="40" t="inlineStr">
        <is>
          <t>Rs 10,800</t>
        </is>
      </c>
      <c r="B9" s="41">
        <f>((10800*'Assumptions'!$B$6/10000000 - 'Assumptions'!$B$80 - 'Assumptions'!$B$31 - 'Assumptions'!$B$81 - 'Assumptions'!$B$88) / 'Assumptions'!$B$78) / ('Assumptions'!$B$74/(8*12))</f>
        <v/>
      </c>
      <c r="C9" s="41">
        <f>((10800*'Assumptions'!$B$6/10000000 - 'Assumptions'!$B$80 - 'Assumptions'!$B$31 - 'Assumptions'!$B$81 - 'Assumptions'!$B$88) / 'Assumptions'!$B$78) / ('Assumptions'!$B$74/(10*12))</f>
        <v/>
      </c>
      <c r="D9" s="43">
        <f>((10800*'Assumptions'!$B$6/10000000 - 'Assumptions'!$B$80 - 'Assumptions'!$B$31 - 'Assumptions'!$B$81 - 'Assumptions'!$B$88) / 'Assumptions'!$B$78) / ('Assumptions'!$B$74/(12*12))</f>
        <v/>
      </c>
      <c r="E9" s="43">
        <f>((10800*'Assumptions'!$B$6/10000000 - 'Assumptions'!$B$80 - 'Assumptions'!$B$31 - 'Assumptions'!$B$81 - 'Assumptions'!$B$88) / 'Assumptions'!$B$78) / ('Assumptions'!$B$74/(15*12))</f>
        <v/>
      </c>
      <c r="F9" s="43">
        <f>((10800*'Assumptions'!$B$6/10000000 - 'Assumptions'!$B$80 - 'Assumptions'!$B$31 - 'Assumptions'!$B$81 - 'Assumptions'!$B$88) / 'Assumptions'!$B$78) / ('Assumptions'!$B$74/(18*12))</f>
        <v/>
      </c>
    </row>
    <row r="10">
      <c r="A10" s="40" t="inlineStr">
        <is>
          <t>Rs 11,500</t>
        </is>
      </c>
      <c r="B10" s="41">
        <f>((11500*'Assumptions'!$B$6/10000000 - 'Assumptions'!$B$80 - 'Assumptions'!$B$31 - 'Assumptions'!$B$81 - 'Assumptions'!$B$88) / 'Assumptions'!$B$78) / ('Assumptions'!$B$74/(8*12))</f>
        <v/>
      </c>
      <c r="C10" s="41">
        <f>((11500*'Assumptions'!$B$6/10000000 - 'Assumptions'!$B$80 - 'Assumptions'!$B$31 - 'Assumptions'!$B$81 - 'Assumptions'!$B$88) / 'Assumptions'!$B$78) / ('Assumptions'!$B$74/(10*12))</f>
        <v/>
      </c>
      <c r="D10" s="43">
        <f>((11500*'Assumptions'!$B$6/10000000 - 'Assumptions'!$B$80 - 'Assumptions'!$B$31 - 'Assumptions'!$B$81 - 'Assumptions'!$B$88) / 'Assumptions'!$B$78) / ('Assumptions'!$B$74/(12*12))</f>
        <v/>
      </c>
      <c r="E10" s="43">
        <f>((11500*'Assumptions'!$B$6/10000000 - 'Assumptions'!$B$80 - 'Assumptions'!$B$31 - 'Assumptions'!$B$81 - 'Assumptions'!$B$88) / 'Assumptions'!$B$78) / ('Assumptions'!$B$74/(15*12))</f>
        <v/>
      </c>
      <c r="F10" s="43">
        <f>((11500*'Assumptions'!$B$6/10000000 - 'Assumptions'!$B$80 - 'Assumptions'!$B$31 - 'Assumptions'!$B$81 - 'Assumptions'!$B$88) / 'Assumptions'!$B$78) / ('Assumptions'!$B$74/(18*12))</f>
        <v/>
      </c>
    </row>
    <row r="11"/>
    <row r="12">
      <c r="A12" s="44" t="n"/>
      <c r="B12" s="45" t="inlineStr">
        <is>
          <t>Green: Strong IRR zone (above base)</t>
        </is>
      </c>
    </row>
    <row r="13">
      <c r="A13" s="46" t="n"/>
      <c r="B13" s="45" t="inlineStr">
        <is>
          <t>Blue: Base case scenario</t>
        </is>
      </c>
    </row>
    <row r="14">
      <c r="A14" s="47" t="n"/>
      <c r="B14" s="45" t="inlineStr">
        <is>
          <t>Gray: Computed from Assumptions -- change inputs to update</t>
        </is>
      </c>
    </row>
    <row r="15"/>
    <row r="16"/>
    <row r="17">
      <c r="A17" s="24" t="inlineStr">
        <is>
          <t>DSCR Scenario Analysis</t>
        </is>
      </c>
    </row>
    <row r="18" ht="28" customHeight="1">
      <c r="A18" s="4" t="inlineStr">
        <is>
          <t>Scenario</t>
        </is>
      </c>
      <c r="B18" s="4" t="inlineStr">
        <is>
          <t>LTV %</t>
        </is>
      </c>
      <c r="C18" s="4" t="inlineStr">
        <is>
          <t>Debt (Cr)</t>
        </is>
      </c>
      <c r="D18" s="4" t="inlineStr">
        <is>
          <t>Interest %</t>
        </is>
      </c>
      <c r="E18" s="4" t="inlineStr">
        <is>
          <t>Annual Debt Svc (Cr)</t>
        </is>
      </c>
      <c r="F18" s="4" t="inlineStr">
        <is>
          <t>Annual NOI (Cr)</t>
        </is>
      </c>
      <c r="G18" s="4" t="inlineStr">
        <is>
          <t>DSCR</t>
        </is>
      </c>
      <c r="H18" s="4" t="inlineStr">
        <is>
          <t>Gate Status</t>
        </is>
      </c>
    </row>
    <row r="19">
      <c r="A19" s="11" t="inlineStr">
        <is>
          <t>Conservative</t>
        </is>
      </c>
      <c r="B19" s="48" t="n">
        <v>0.6</v>
      </c>
      <c r="C19" s="25">
        <f>'Assumptions'!$B$73*$B$19</f>
        <v/>
      </c>
      <c r="D19" s="18" t="n">
        <v>0.095</v>
      </c>
      <c r="E19" s="25">
        <f>$C$19*$D$19</f>
        <v/>
      </c>
      <c r="F19" s="25">
        <f>'Assumptions'!$B$97</f>
        <v/>
      </c>
      <c r="G19" s="49">
        <f>$F$19/$E$19</f>
        <v/>
      </c>
      <c r="H19" s="50">
        <f>IF($G$19&gt;=1.4,"CLEAR","BLOCKED")</f>
        <v/>
      </c>
    </row>
    <row r="20">
      <c r="A20" s="11" t="inlineStr">
        <is>
          <t>Base Case</t>
        </is>
      </c>
      <c r="B20" s="48" t="n">
        <v>0.65</v>
      </c>
      <c r="C20" s="25">
        <f>'Assumptions'!$B$73*$B$20</f>
        <v/>
      </c>
      <c r="D20" s="18" t="n">
        <v>0.095</v>
      </c>
      <c r="E20" s="25">
        <f>$C$20*$D$20</f>
        <v/>
      </c>
      <c r="F20" s="25">
        <f>'Assumptions'!$B$97</f>
        <v/>
      </c>
      <c r="G20" s="49">
        <f>$F$20/$E$20</f>
        <v/>
      </c>
      <c r="H20" s="50">
        <f>IF($G$20&gt;=1.4,"CLEAR","BLOCKED")</f>
        <v/>
      </c>
    </row>
    <row r="21">
      <c r="A21" s="11" t="inlineStr">
        <is>
          <t>Aggressive</t>
        </is>
      </c>
      <c r="B21" s="48" t="n">
        <v>0.7</v>
      </c>
      <c r="C21" s="25">
        <f>'Assumptions'!$B$73*$B$21</f>
        <v/>
      </c>
      <c r="D21" s="18" t="n">
        <v>0.1</v>
      </c>
      <c r="E21" s="25">
        <f>$C$21*$D$21</f>
        <v/>
      </c>
      <c r="F21" s="25">
        <f>'Assumptions'!$B$97</f>
        <v/>
      </c>
      <c r="G21" s="49">
        <f>$F$21/$E$21</f>
        <v/>
      </c>
      <c r="H21" s="50">
        <f>IF($G$21&gt;=1.4,"CLEAR","BLOCKED")</f>
        <v/>
      </c>
    </row>
    <row r="22">
      <c r="A22" s="11" t="inlineStr">
        <is>
          <t>Stressed</t>
        </is>
      </c>
      <c r="B22" s="48" t="n">
        <v>0.75</v>
      </c>
      <c r="C22" s="25">
        <f>'Assumptions'!$B$73*$B$22</f>
        <v/>
      </c>
      <c r="D22" s="18" t="n">
        <v>0.11</v>
      </c>
      <c r="E22" s="25">
        <f>$C$22*$D$22</f>
        <v/>
      </c>
      <c r="F22" s="25">
        <f>'Assumptions'!$B$97</f>
        <v/>
      </c>
      <c r="G22" s="49">
        <f>$F$22/$E$22</f>
        <v/>
      </c>
      <c r="H22" s="50">
        <f>IF($G$22&gt;=1.4,"CLEAR","BLOCKED")</f>
        <v/>
      </c>
    </row>
    <row r="23">
      <c r="A23" s="11" t="inlineStr">
        <is>
          <t>Worst Case</t>
        </is>
      </c>
      <c r="B23" s="48" t="n">
        <v>0.8</v>
      </c>
      <c r="C23" s="25">
        <f>'Assumptions'!$B$73*$B$23</f>
        <v/>
      </c>
      <c r="D23" s="18" t="n">
        <v>0.115</v>
      </c>
      <c r="E23" s="25">
        <f>$C$23*$D$23</f>
        <v/>
      </c>
      <c r="F23" s="25">
        <f>'Assumptions'!$B$97</f>
        <v/>
      </c>
      <c r="G23" s="49">
        <f>$F$23/$E$23</f>
        <v/>
      </c>
      <c r="H23" s="50">
        <f>IF($G$23&gt;=1.4,"CLEAR","BLOCKED")</f>
        <v/>
      </c>
    </row>
  </sheetData>
  <mergeCells count="5">
    <mergeCell ref="A1:J1"/>
    <mergeCell ref="B12:F12"/>
    <mergeCell ref="A2:J2"/>
    <mergeCell ref="B14:F14"/>
    <mergeCell ref="B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3002F"/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17" customWidth="1" min="3" max="3"/>
    <col width="23" customWidth="1" min="4" max="4"/>
    <col width="19" customWidth="1" min="5" max="5"/>
    <col width="13" customWidth="1" min="6" max="6"/>
    <col width="15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1" t="inlineStr">
        <is>
          <t>GTM Stage-Gate Budget Tracker</t>
        </is>
      </c>
    </row>
    <row r="2">
      <c r="A2" s="2" t="inlineStr">
        <is>
          <t>Budget column links to Assumptions. Actual Spend is user-input. Variance auto-calculates.</t>
        </is>
      </c>
    </row>
    <row r="3"/>
    <row r="4" ht="28" customHeight="1">
      <c r="A4" s="4" t="inlineStr">
        <is>
          <t>Stage</t>
        </is>
      </c>
      <c r="B4" s="4" t="inlineStr">
        <is>
          <t>Activity</t>
        </is>
      </c>
      <c r="C4" s="4" t="inlineStr">
        <is>
          <t>Budget (Lakhs)</t>
        </is>
      </c>
      <c r="D4" s="4" t="inlineStr">
        <is>
          <t>Actual Spend (Lakhs)</t>
        </is>
      </c>
      <c r="E4" s="4" t="inlineStr">
        <is>
          <t>Variance (Lakhs)</t>
        </is>
      </c>
      <c r="F4" s="4" t="inlineStr">
        <is>
          <t>Var %</t>
        </is>
      </c>
      <c r="G4" s="4" t="inlineStr">
        <is>
          <t>Owner</t>
        </is>
      </c>
      <c r="H4" s="4" t="inlineStr">
        <is>
          <t>Status</t>
        </is>
      </c>
    </row>
    <row r="5">
      <c r="A5" s="5" t="inlineStr">
        <is>
          <t>S1</t>
        </is>
      </c>
      <c r="B5" s="5" t="inlineStr">
        <is>
          <t>Competitor Conjoint Analysis</t>
        </is>
      </c>
      <c r="C5" s="25" t="n">
        <v>15</v>
      </c>
      <c r="D5" s="25" t="n">
        <v>14.2</v>
      </c>
      <c r="E5" s="25">
        <f>$C$5-$D$5</f>
        <v/>
      </c>
      <c r="F5" s="18">
        <f>IF($C$5=0,0,$E$5/$C$5)</f>
        <v/>
      </c>
      <c r="G5" s="5" t="inlineStr">
        <is>
          <t>Research</t>
        </is>
      </c>
      <c r="H5" s="5" t="inlineStr"/>
    </row>
    <row r="6">
      <c r="A6" s="5" t="inlineStr">
        <is>
          <t>S1</t>
        </is>
      </c>
      <c r="B6" s="5" t="inlineStr">
        <is>
          <t>Micro-Market Demand Heatmap</t>
        </is>
      </c>
      <c r="C6" s="25" t="n">
        <v>8</v>
      </c>
      <c r="D6" s="25" t="n">
        <v>7.5</v>
      </c>
      <c r="E6" s="25">
        <f>$C$6-$D$6</f>
        <v/>
      </c>
      <c r="F6" s="18">
        <f>IF($C$6=0,0,$E$6/$C$6)</f>
        <v/>
      </c>
      <c r="G6" s="5" t="inlineStr">
        <is>
          <t>Data Science</t>
        </is>
      </c>
      <c r="H6" s="5" t="inlineStr"/>
    </row>
    <row r="7">
      <c r="A7" s="5" t="inlineStr">
        <is>
          <t>S1</t>
        </is>
      </c>
      <c r="B7" s="5" t="inlineStr">
        <is>
          <t>Financial Hurdle Model</t>
        </is>
      </c>
      <c r="C7" s="25" t="n">
        <v>5</v>
      </c>
      <c r="D7" s="25" t="n">
        <v>4.8</v>
      </c>
      <c r="E7" s="25">
        <f>$C$7-$D$7</f>
        <v/>
      </c>
      <c r="F7" s="18">
        <f>IF($C$7=0,0,$E$7/$C$7)</f>
        <v/>
      </c>
      <c r="G7" s="5" t="inlineStr">
        <is>
          <t>Finance</t>
        </is>
      </c>
      <c r="H7" s="5" t="inlineStr"/>
    </row>
    <row r="8">
      <c r="A8" s="5" t="inlineStr">
        <is>
          <t>S1</t>
        </is>
      </c>
      <c r="B8" s="5" t="inlineStr">
        <is>
          <t>Legal Due Diligence</t>
        </is>
      </c>
      <c r="C8" s="25" t="n">
        <v>12</v>
      </c>
      <c r="D8" s="25" t="n">
        <v>11.5</v>
      </c>
      <c r="E8" s="25">
        <f>$C$8-$D$8</f>
        <v/>
      </c>
      <c r="F8" s="18">
        <f>IF($C$8=0,0,$E$8/$C$8)</f>
        <v/>
      </c>
      <c r="G8" s="5" t="inlineStr">
        <is>
          <t>Legal</t>
        </is>
      </c>
      <c r="H8" s="5" t="inlineStr"/>
    </row>
    <row r="9">
      <c r="A9" s="19" t="inlineStr"/>
      <c r="B9" s="19" t="inlineStr">
        <is>
          <t>Stage 1 Subtotal</t>
        </is>
      </c>
      <c r="C9" s="51">
        <f>SUM($C$5:$C$8)</f>
        <v/>
      </c>
      <c r="D9" s="51">
        <f>SUM($D$5:$D$8)</f>
        <v/>
      </c>
      <c r="E9" s="52">
        <f>$C$9-$D$9</f>
        <v/>
      </c>
      <c r="F9" s="53">
        <f>IF($C$9=0,0,$E$9/$C$9)</f>
        <v/>
      </c>
      <c r="G9" s="20" t="inlineStr"/>
      <c r="H9" s="20" t="inlineStr"/>
    </row>
    <row r="10">
      <c r="A10" s="5" t="inlineStr"/>
      <c r="B10" s="5" t="inlineStr"/>
      <c r="G10" s="5" t="inlineStr"/>
      <c r="H10" s="5" t="inlineStr"/>
    </row>
    <row r="11">
      <c r="A11" s="5" t="inlineStr">
        <is>
          <t>S2</t>
        </is>
      </c>
      <c r="B11" s="5" t="inlineStr">
        <is>
          <t>Barbell Pricing Architecture</t>
        </is>
      </c>
      <c r="C11" s="25" t="n">
        <v>10</v>
      </c>
      <c r="D11" s="25" t="n">
        <v>9.800000000000001</v>
      </c>
      <c r="E11" s="25">
        <f>$C$11-$D$11</f>
        <v/>
      </c>
      <c r="F11" s="18">
        <f>IF($C$11=0,0,$E$11/$C$11)</f>
        <v/>
      </c>
      <c r="G11" s="5" t="inlineStr">
        <is>
          <t>Pricing</t>
        </is>
      </c>
      <c r="H11" s="5" t="inlineStr"/>
    </row>
    <row r="12">
      <c r="A12" s="5" t="inlineStr">
        <is>
          <t>S2</t>
        </is>
      </c>
      <c r="B12" s="5" t="inlineStr">
        <is>
          <t>Walk-in Genie AI Training</t>
        </is>
      </c>
      <c r="C12" s="25" t="n">
        <v>18</v>
      </c>
      <c r="D12" s="25" t="n">
        <v>12</v>
      </c>
      <c r="E12" s="25">
        <f>$C$12-$D$12</f>
        <v/>
      </c>
      <c r="F12" s="18">
        <f>IF($C$12=0,0,$E$12/$C$12)</f>
        <v/>
      </c>
      <c r="G12" s="5" t="inlineStr">
        <is>
          <t>AI Team</t>
        </is>
      </c>
      <c r="H12" s="5" t="inlineStr"/>
    </row>
    <row r="13">
      <c r="A13" s="5" t="inlineStr">
        <is>
          <t>S2</t>
        </is>
      </c>
      <c r="B13" s="5" t="inlineStr">
        <is>
          <t>CP Ranker &amp; Mobilization</t>
        </is>
      </c>
      <c r="C13" s="25" t="n">
        <v>25</v>
      </c>
      <c r="D13" s="25" t="n">
        <v>15</v>
      </c>
      <c r="E13" s="25">
        <f>$C$13-$D$13</f>
        <v/>
      </c>
      <c r="F13" s="18">
        <f>IF($C$13=0,0,$E$13/$C$13)</f>
        <v/>
      </c>
      <c r="G13" s="5" t="inlineStr">
        <is>
          <t>CP Ops</t>
        </is>
      </c>
      <c r="H13" s="5" t="inlineStr"/>
    </row>
    <row r="14">
      <c r="A14" s="5" t="inlineStr">
        <is>
          <t>S2</t>
        </is>
      </c>
      <c r="B14" s="5" t="inlineStr">
        <is>
          <t>Site Experience Office</t>
        </is>
      </c>
      <c r="C14" s="25" t="n">
        <v>85</v>
      </c>
      <c r="D14" s="25" t="n">
        <v>45</v>
      </c>
      <c r="E14" s="25">
        <f>$C$14-$D$14</f>
        <v/>
      </c>
      <c r="F14" s="18">
        <f>IF($C$14=0,0,$E$14/$C$14)</f>
        <v/>
      </c>
      <c r="G14" s="5" t="inlineStr">
        <is>
          <t>Developer</t>
        </is>
      </c>
      <c r="H14" s="5" t="inlineStr"/>
    </row>
    <row r="15">
      <c r="A15" s="5" t="inlineStr">
        <is>
          <t>S2</t>
        </is>
      </c>
      <c r="B15" s="5" t="inlineStr">
        <is>
          <t>Creative Kit &amp; Collaterals</t>
        </is>
      </c>
      <c r="C15" s="25" t="n">
        <v>30</v>
      </c>
      <c r="D15" s="25" t="n">
        <v>0</v>
      </c>
      <c r="E15" s="25">
        <f>$C$15-$D$15</f>
        <v/>
      </c>
      <c r="F15" s="18">
        <f>IF($C$15=0,0,$E$15/$C$15)</f>
        <v/>
      </c>
      <c r="G15" s="5" t="inlineStr">
        <is>
          <t>Creative</t>
        </is>
      </c>
      <c r="H15" s="5" t="inlineStr"/>
    </row>
    <row r="16">
      <c r="A16" s="5" t="inlineStr">
        <is>
          <t>S2</t>
        </is>
      </c>
      <c r="B16" s="5" t="inlineStr">
        <is>
          <t>RERA Registration Support</t>
        </is>
      </c>
      <c r="C16" s="25" t="n">
        <v>5</v>
      </c>
      <c r="D16" s="25" t="n">
        <v>4.5</v>
      </c>
      <c r="E16" s="25">
        <f>$C$16-$D$16</f>
        <v/>
      </c>
      <c r="F16" s="18">
        <f>IF($C$16=0,0,$E$16/$C$16)</f>
        <v/>
      </c>
      <c r="G16" s="5" t="inlineStr">
        <is>
          <t>Legal</t>
        </is>
      </c>
      <c r="H16" s="5" t="inlineStr"/>
    </row>
    <row r="17">
      <c r="A17" s="19" t="inlineStr"/>
      <c r="B17" s="19" t="inlineStr">
        <is>
          <t>Stage 2 Subtotal</t>
        </is>
      </c>
      <c r="C17" s="51">
        <f>SUM($C$11:$C$16)</f>
        <v/>
      </c>
      <c r="D17" s="51">
        <f>SUM($D$11:$D$16)</f>
        <v/>
      </c>
      <c r="E17" s="52">
        <f>$C$17-$D$17</f>
        <v/>
      </c>
      <c r="F17" s="53">
        <f>IF($C$17=0,0,$E$17/$C$17)</f>
        <v/>
      </c>
      <c r="G17" s="20" t="inlineStr"/>
      <c r="H17" s="20" t="inlineStr"/>
    </row>
    <row r="18">
      <c r="A18" s="5" t="inlineStr"/>
      <c r="B18" s="5" t="inlineStr"/>
      <c r="G18" s="5" t="inlineStr"/>
      <c r="H18" s="5" t="inlineStr"/>
    </row>
    <row r="19">
      <c r="A19" s="5" t="inlineStr">
        <is>
          <t>S3</t>
        </is>
      </c>
      <c r="B19" s="5" t="inlineStr">
        <is>
          <t>Concierge MVP Events (5x)</t>
        </is>
      </c>
      <c r="C19" s="25" t="n">
        <v>35</v>
      </c>
      <c r="D19" s="25" t="n">
        <v>0</v>
      </c>
      <c r="E19" s="25">
        <f>$C$19-$D$19</f>
        <v/>
      </c>
      <c r="F19" s="18">
        <f>IF($C$19=0,0,$E$19/$C$19)</f>
        <v/>
      </c>
      <c r="G19" s="5" t="inlineStr">
        <is>
          <t>Sales Ops</t>
        </is>
      </c>
      <c r="H19" s="5" t="inlineStr"/>
    </row>
    <row r="20">
      <c r="A20" s="5" t="inlineStr">
        <is>
          <t>S3</t>
        </is>
      </c>
      <c r="B20" s="5" t="inlineStr">
        <is>
          <t>Astra Platinum Integration</t>
        </is>
      </c>
      <c r="C20" s="25" t="n">
        <v>12</v>
      </c>
      <c r="D20" s="25" t="n">
        <v>0</v>
      </c>
      <c r="E20" s="25">
        <f>$C$20-$D$20</f>
        <v/>
      </c>
      <c r="F20" s="18">
        <f>IF($C$20=0,0,$E$20/$C$20)</f>
        <v/>
      </c>
      <c r="G20" s="5" t="inlineStr">
        <is>
          <t>AI Team</t>
        </is>
      </c>
      <c r="H20" s="5" t="inlineStr"/>
    </row>
    <row r="21">
      <c r="A21" s="5" t="inlineStr">
        <is>
          <t>S3</t>
        </is>
      </c>
      <c r="B21" s="5" t="inlineStr">
        <is>
          <t>EOI Token Campaign</t>
        </is>
      </c>
      <c r="C21" s="25" t="n">
        <v>45</v>
      </c>
      <c r="D21" s="25" t="n">
        <v>0</v>
      </c>
      <c r="E21" s="25">
        <f>$C$21-$D$21</f>
        <v/>
      </c>
      <c r="F21" s="18">
        <f>IF($C$21=0,0,$E$21/$C$21)</f>
        <v/>
      </c>
      <c r="G21" s="5" t="inlineStr">
        <is>
          <t>Marketing</t>
        </is>
      </c>
      <c r="H21" s="5" t="inlineStr"/>
    </row>
    <row r="22">
      <c r="A22" s="5" t="inlineStr">
        <is>
          <t>S3</t>
        </is>
      </c>
      <c r="B22" s="5" t="inlineStr">
        <is>
          <t>CP Launch Events</t>
        </is>
      </c>
      <c r="C22" s="25" t="n">
        <v>20</v>
      </c>
      <c r="D22" s="25" t="n">
        <v>0</v>
      </c>
      <c r="E22" s="25">
        <f>$C$22-$D$22</f>
        <v/>
      </c>
      <c r="F22" s="18">
        <f>IF($C$22=0,0,$E$22/$C$22)</f>
        <v/>
      </c>
      <c r="G22" s="5" t="inlineStr">
        <is>
          <t>CP Ops</t>
        </is>
      </c>
      <c r="H22" s="5" t="inlineStr"/>
    </row>
    <row r="23">
      <c r="A23" s="19" t="inlineStr"/>
      <c r="B23" s="19" t="inlineStr">
        <is>
          <t>Stage 3 Subtotal</t>
        </is>
      </c>
      <c r="C23" s="51">
        <f>SUM($C$19:$C$22)</f>
        <v/>
      </c>
      <c r="D23" s="51">
        <f>SUM($D$19:$D$22)</f>
        <v/>
      </c>
      <c r="E23" s="52">
        <f>$C$23-$D$23</f>
        <v/>
      </c>
      <c r="F23" s="53">
        <f>IF($C$23=0,0,$E$23/$C$23)</f>
        <v/>
      </c>
      <c r="G23" s="20" t="inlineStr"/>
      <c r="H23" s="20" t="inlineStr"/>
    </row>
    <row r="24">
      <c r="A24" s="5" t="inlineStr"/>
      <c r="B24" s="5" t="inlineStr"/>
      <c r="G24" s="5" t="inlineStr"/>
      <c r="H24" s="5" t="inlineStr"/>
    </row>
    <row r="25">
      <c r="A25" s="5" t="inlineStr">
        <is>
          <t>S4</t>
        </is>
      </c>
      <c r="B25" s="5" t="inlineStr">
        <is>
          <t>360 Digital Campaign (Meta/Google)</t>
        </is>
      </c>
      <c r="C25" s="25" t="n">
        <v>180</v>
      </c>
      <c r="D25" s="25" t="n">
        <v>0</v>
      </c>
      <c r="E25" s="25">
        <f>$C$25-$D$25</f>
        <v/>
      </c>
      <c r="F25" s="18">
        <f>IF($C$25=0,0,$E$25/$C$25)</f>
        <v/>
      </c>
      <c r="G25" s="5" t="inlineStr">
        <is>
          <t>Digital</t>
        </is>
      </c>
      <c r="H25" s="5" t="inlineStr"/>
    </row>
    <row r="26">
      <c r="A26" s="5" t="inlineStr">
        <is>
          <t>S4</t>
        </is>
      </c>
      <c r="B26" s="5" t="inlineStr">
        <is>
          <t>Local OOH &amp; Print</t>
        </is>
      </c>
      <c r="C26" s="25" t="n">
        <v>80</v>
      </c>
      <c r="D26" s="25" t="n">
        <v>0</v>
      </c>
      <c r="E26" s="25">
        <f>$C$26-$D$26</f>
        <v/>
      </c>
      <c r="F26" s="18">
        <f>IF($C$26=0,0,$E$26/$C$26)</f>
        <v/>
      </c>
      <c r="G26" s="5" t="inlineStr">
        <is>
          <t>Media</t>
        </is>
      </c>
      <c r="H26" s="5" t="inlineStr"/>
    </row>
    <row r="27">
      <c r="A27" s="5" t="inlineStr">
        <is>
          <t>S4</t>
        </is>
      </c>
      <c r="B27" s="5" t="inlineStr">
        <is>
          <t>n8n Lead Revival (Astra Phoenix)</t>
        </is>
      </c>
      <c r="C27" s="25" t="n">
        <v>15</v>
      </c>
      <c r="D27" s="25" t="n">
        <v>0</v>
      </c>
      <c r="E27" s="25">
        <f>$C$27-$D$27</f>
        <v/>
      </c>
      <c r="F27" s="18">
        <f>IF($C$27=0,0,$E$27/$C$27)</f>
        <v/>
      </c>
      <c r="G27" s="5" t="inlineStr">
        <is>
          <t>AI Team</t>
        </is>
      </c>
      <c r="H27" s="5" t="inlineStr"/>
    </row>
    <row r="28">
      <c r="A28" s="5" t="inlineStr">
        <is>
          <t>S4</t>
        </is>
      </c>
      <c r="B28" s="5" t="inlineStr">
        <is>
          <t>Mandate Health Dashboard</t>
        </is>
      </c>
      <c r="C28" s="25" t="n">
        <v>8</v>
      </c>
      <c r="D28" s="25" t="n">
        <v>0</v>
      </c>
      <c r="E28" s="25">
        <f>$C$28-$D$28</f>
        <v/>
      </c>
      <c r="F28" s="18">
        <f>IF($C$28=0,0,$E$28/$C$28)</f>
        <v/>
      </c>
      <c r="G28" s="5" t="inlineStr">
        <is>
          <t>BI Team</t>
        </is>
      </c>
      <c r="H28" s="5" t="inlineStr"/>
    </row>
    <row r="29">
      <c r="A29" s="5" t="inlineStr">
        <is>
          <t>S4</t>
        </is>
      </c>
      <c r="B29" s="5" t="inlineStr">
        <is>
          <t>CP Commission Pool</t>
        </is>
      </c>
      <c r="C29" s="25" t="n">
        <v>350</v>
      </c>
      <c r="D29" s="25" t="n">
        <v>0</v>
      </c>
      <c r="E29" s="25">
        <f>$C$29-$D$29</f>
        <v/>
      </c>
      <c r="F29" s="18">
        <f>IF($C$29=0,0,$E$29/$C$29)</f>
        <v/>
      </c>
      <c r="G29" s="5" t="inlineStr">
        <is>
          <t>CP Ops</t>
        </is>
      </c>
      <c r="H29" s="5" t="inlineStr"/>
    </row>
    <row r="30">
      <c r="A30" s="5" t="inlineStr">
        <is>
          <t>S4</t>
        </is>
      </c>
      <c r="B30" s="5" t="inlineStr">
        <is>
          <t>Sales Team Ops</t>
        </is>
      </c>
      <c r="C30" s="25" t="n">
        <v>120</v>
      </c>
      <c r="D30" s="25" t="n">
        <v>0</v>
      </c>
      <c r="E30" s="25">
        <f>$C$30-$D$30</f>
        <v/>
      </c>
      <c r="F30" s="18">
        <f>IF($C$30=0,0,$E$30/$C$30)</f>
        <v/>
      </c>
      <c r="G30" s="5" t="inlineStr">
        <is>
          <t>Sales</t>
        </is>
      </c>
      <c r="H30" s="5" t="inlineStr"/>
    </row>
    <row r="31">
      <c r="A31" s="5" t="inlineStr">
        <is>
          <t>S4</t>
        </is>
      </c>
      <c r="B31" s="5" t="inlineStr">
        <is>
          <t>Site Event Marketing</t>
        </is>
      </c>
      <c r="C31" s="25" t="n">
        <v>25</v>
      </c>
      <c r="D31" s="25" t="n">
        <v>0</v>
      </c>
      <c r="E31" s="25">
        <f>$C$31-$D$31</f>
        <v/>
      </c>
      <c r="F31" s="18">
        <f>IF($C$31=0,0,$E$31/$C$31)</f>
        <v/>
      </c>
      <c r="G31" s="5" t="inlineStr">
        <is>
          <t>Events</t>
        </is>
      </c>
      <c r="H31" s="5" t="inlineStr"/>
    </row>
    <row r="32">
      <c r="A32" s="19" t="inlineStr"/>
      <c r="B32" s="19" t="inlineStr">
        <is>
          <t>Stage 4 Subtotal</t>
        </is>
      </c>
      <c r="C32" s="51">
        <f>SUM($C$25:$C$31)</f>
        <v/>
      </c>
      <c r="D32" s="51">
        <f>SUM($D$25:$D$31)</f>
        <v/>
      </c>
      <c r="E32" s="52">
        <f>$C$32-$D$32</f>
        <v/>
      </c>
      <c r="F32" s="53">
        <f>IF($C$32=0,0,$E$32/$C$32)</f>
        <v/>
      </c>
      <c r="G32" s="20" t="inlineStr"/>
      <c r="H32" s="20" t="inlineStr"/>
    </row>
    <row r="33">
      <c r="A33" s="5" t="inlineStr"/>
      <c r="B33" s="5" t="inlineStr"/>
      <c r="G33" s="5" t="inlineStr"/>
      <c r="H33" s="5" t="inlineStr"/>
    </row>
    <row r="34">
      <c r="A34" s="19" t="inlineStr"/>
      <c r="B34" s="19" t="inlineStr">
        <is>
          <t>GRAND TOTAL</t>
        </is>
      </c>
      <c r="C34" s="51">
        <f>$C$9+$C$17+$C$23+$C$32</f>
        <v/>
      </c>
      <c r="D34" s="51">
        <f>$D$9+$D$17+$D$23+$D$32</f>
        <v/>
      </c>
      <c r="E34" s="52">
        <f>$C$34-$D$34</f>
        <v/>
      </c>
      <c r="F34" s="53">
        <f>IF($C$34=0,0,$E$34/$C$34)</f>
        <v/>
      </c>
      <c r="G34" s="20" t="inlineStr"/>
      <c r="H34" s="2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97706"/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5" customWidth="1" min="3" max="3"/>
    <col width="17" customWidth="1" min="4" max="4"/>
    <col width="19" customWidth="1" min="5" max="5"/>
    <col width="13" customWidth="1" min="6" max="6"/>
    <col width="23" customWidth="1" min="7" max="7"/>
    <col width="26" customWidth="1" min="8" max="8"/>
    <col width="13" customWidth="1" min="9" max="9"/>
    <col width="13" customWidth="1" min="10" max="10"/>
  </cols>
  <sheetData>
    <row r="1" ht="30" customHeight="1">
      <c r="A1" s="1" t="inlineStr">
        <is>
          <t>CAC &amp; Marketing Funnel Analysis</t>
        </is>
      </c>
    </row>
    <row r="2">
      <c r="A2" s="2" t="inlineStr">
        <is>
          <t>CPL, CAC, and ROAS calculated via formulas. Adjust budget/leads to see impact.</t>
        </is>
      </c>
    </row>
    <row r="3"/>
    <row r="4" ht="28" customHeight="1">
      <c r="A4" s="54" t="inlineStr">
        <is>
          <t>Channel</t>
        </is>
      </c>
      <c r="B4" s="54" t="inlineStr">
        <is>
          <t>Monthly Budget (Lakhs)</t>
        </is>
      </c>
      <c r="C4" s="54" t="inlineStr">
        <is>
          <t>Leads/Mo</t>
        </is>
      </c>
      <c r="D4" s="54" t="inlineStr">
        <is>
          <t>Site Visits/Mo</t>
        </is>
      </c>
      <c r="E4" s="54" t="inlineStr">
        <is>
          <t>Conversions/Mo</t>
        </is>
      </c>
      <c r="F4" s="54" t="inlineStr">
        <is>
          <t>CPL (Rs)</t>
        </is>
      </c>
      <c r="G4" s="54" t="inlineStr">
        <is>
          <t>CAC per Unit (Lakhs)</t>
        </is>
      </c>
      <c r="H4" s="54" t="inlineStr">
        <is>
          <t>Channel Revenue (Cr/mo)</t>
        </is>
      </c>
      <c r="I4" s="54" t="inlineStr">
        <is>
          <t>ROAS</t>
        </is>
      </c>
    </row>
    <row r="5">
      <c r="A5" s="11" t="inlineStr">
        <is>
          <t>Google Search (SEM)</t>
        </is>
      </c>
      <c r="B5" s="25" t="n">
        <v>12</v>
      </c>
      <c r="C5" s="6" t="n">
        <v>800</v>
      </c>
      <c r="D5" s="6" t="n">
        <v>48</v>
      </c>
      <c r="E5" s="6" t="n">
        <v>8</v>
      </c>
      <c r="F5" s="6">
        <f>IF($C$5=0,0,$B$5*100000/$C$5)</f>
        <v/>
      </c>
      <c r="G5" s="9">
        <f>IF($E$5=0,0,$B$5/$E$5)</f>
        <v/>
      </c>
      <c r="H5" s="25">
        <f>$E$5*'Assumptions'!$B$76</f>
        <v/>
      </c>
      <c r="I5" s="55">
        <f>IF($B$5=0,0,$H$5*100/$B$5)</f>
        <v/>
      </c>
    </row>
    <row r="6">
      <c r="A6" s="11" t="inlineStr">
        <is>
          <t>Meta (FB/Instagram)</t>
        </is>
      </c>
      <c r="B6" s="25" t="n">
        <v>8</v>
      </c>
      <c r="C6" s="6" t="n">
        <v>1200</v>
      </c>
      <c r="D6" s="6" t="n">
        <v>36</v>
      </c>
      <c r="E6" s="6" t="n">
        <v>5</v>
      </c>
      <c r="F6" s="6">
        <f>IF($C$6=0,0,$B$6*100000/$C$6)</f>
        <v/>
      </c>
      <c r="G6" s="9">
        <f>IF($E$6=0,0,$B$6/$E$6)</f>
        <v/>
      </c>
      <c r="H6" s="25">
        <f>$E$6*'Assumptions'!$B$76</f>
        <v/>
      </c>
      <c r="I6" s="55">
        <f>IF($B$6=0,0,$H$6*100/$B$6)</f>
        <v/>
      </c>
    </row>
    <row r="7">
      <c r="A7" s="11" t="inlineStr">
        <is>
          <t>Google Display &amp; YouTube</t>
        </is>
      </c>
      <c r="B7" s="25" t="n">
        <v>5</v>
      </c>
      <c r="C7" s="6" t="n">
        <v>2000</v>
      </c>
      <c r="D7" s="6" t="n">
        <v>20</v>
      </c>
      <c r="E7" s="6" t="n">
        <v>3</v>
      </c>
      <c r="F7" s="6">
        <f>IF($C$7=0,0,$B$7*100000/$C$7)</f>
        <v/>
      </c>
      <c r="G7" s="9">
        <f>IF($E$7=0,0,$B$7/$E$7)</f>
        <v/>
      </c>
      <c r="H7" s="25">
        <f>$E$7*'Assumptions'!$B$76</f>
        <v/>
      </c>
      <c r="I7" s="55">
        <f>IF($B$7=0,0,$H$7*100/$B$7)</f>
        <v/>
      </c>
    </row>
    <row r="8">
      <c r="A8" s="11" t="inlineStr">
        <is>
          <t>CP Broker Network</t>
        </is>
      </c>
      <c r="B8" s="25" t="n">
        <v>15</v>
      </c>
      <c r="C8" s="6" t="n">
        <v>300</v>
      </c>
      <c r="D8" s="6" t="n">
        <v>90</v>
      </c>
      <c r="E8" s="6" t="n">
        <v>12</v>
      </c>
      <c r="F8" s="6">
        <f>IF($C$8=0,0,$B$8*100000/$C$8)</f>
        <v/>
      </c>
      <c r="G8" s="9">
        <f>IF($E$8=0,0,$B$8/$E$8)</f>
        <v/>
      </c>
      <c r="H8" s="25">
        <f>$E$8*'Assumptions'!$B$76</f>
        <v/>
      </c>
      <c r="I8" s="55">
        <f>IF($B$8=0,0,$H$8*100/$B$8)</f>
        <v/>
      </c>
    </row>
    <row r="9">
      <c r="A9" s="11" t="inlineStr">
        <is>
          <t>Organic / Walk-in Genie AI</t>
        </is>
      </c>
      <c r="B9" s="25" t="n">
        <v>2</v>
      </c>
      <c r="C9" s="6" t="n">
        <v>400</v>
      </c>
      <c r="D9" s="6" t="n">
        <v>60</v>
      </c>
      <c r="E9" s="6" t="n">
        <v>6</v>
      </c>
      <c r="F9" s="6">
        <f>IF($C$9=0,0,$B$9*100000/$C$9)</f>
        <v/>
      </c>
      <c r="G9" s="9">
        <f>IF($E$9=0,0,$B$9/$E$9)</f>
        <v/>
      </c>
      <c r="H9" s="25">
        <f>$E$9*'Assumptions'!$B$76</f>
        <v/>
      </c>
      <c r="I9" s="55">
        <f>IF($B$9=0,0,$H$9*100/$B$9)</f>
        <v/>
      </c>
    </row>
    <row r="10">
      <c r="A10" s="11" t="inlineStr">
        <is>
          <t>n8n Lead Revival (Phoenix)</t>
        </is>
      </c>
      <c r="B10" s="25" t="n">
        <v>1.5</v>
      </c>
      <c r="C10" s="6" t="n">
        <v>150</v>
      </c>
      <c r="D10" s="6" t="n">
        <v>25</v>
      </c>
      <c r="E10" s="6" t="n">
        <v>3</v>
      </c>
      <c r="F10" s="6">
        <f>IF($C$10=0,0,$B$10*100000/$C$10)</f>
        <v/>
      </c>
      <c r="G10" s="9">
        <f>IF($E$10=0,0,$B$10/$E$10)</f>
        <v/>
      </c>
      <c r="H10" s="25">
        <f>$E$10*'Assumptions'!$B$76</f>
        <v/>
      </c>
      <c r="I10" s="55">
        <f>IF($B$10=0,0,$H$10*100/$B$10)</f>
        <v/>
      </c>
    </row>
    <row r="11">
      <c r="A11" s="11" t="inlineStr">
        <is>
          <t>Local OOH / Print</t>
        </is>
      </c>
      <c r="B11" s="25" t="n">
        <v>6</v>
      </c>
      <c r="C11" s="6" t="n">
        <v>500</v>
      </c>
      <c r="D11" s="6" t="n">
        <v>15</v>
      </c>
      <c r="E11" s="6" t="n">
        <v>2</v>
      </c>
      <c r="F11" s="6">
        <f>IF($C$11=0,0,$B$11*100000/$C$11)</f>
        <v/>
      </c>
      <c r="G11" s="9">
        <f>IF($E$11=0,0,$B$11/$E$11)</f>
        <v/>
      </c>
      <c r="H11" s="25">
        <f>$E$11*'Assumptions'!$B$76</f>
        <v/>
      </c>
      <c r="I11" s="55">
        <f>IF($B$11=0,0,$H$11*100/$B$11)</f>
        <v/>
      </c>
    </row>
    <row r="12">
      <c r="A12" s="11" t="inlineStr">
        <is>
          <t>Referral Program</t>
        </is>
      </c>
      <c r="B12" s="25" t="n">
        <v>1</v>
      </c>
      <c r="C12" s="6" t="n">
        <v>50</v>
      </c>
      <c r="D12" s="6" t="n">
        <v>15</v>
      </c>
      <c r="E12" s="6" t="n">
        <v>2</v>
      </c>
      <c r="F12" s="6">
        <f>IF($C$12=0,0,$B$12*100000/$C$12)</f>
        <v/>
      </c>
      <c r="G12" s="9">
        <f>IF($E$12=0,0,$B$12/$E$12)</f>
        <v/>
      </c>
      <c r="H12" s="25">
        <f>$E$12*'Assumptions'!$B$76</f>
        <v/>
      </c>
      <c r="I12" s="55">
        <f>IF($B$12=0,0,$H$12*100/$B$12)</f>
        <v/>
      </c>
    </row>
    <row r="13">
      <c r="A13" s="19" t="inlineStr">
        <is>
          <t>BLENDED TOTAL</t>
        </is>
      </c>
      <c r="B13" s="51">
        <f>SUM($B$5:$B$12)</f>
        <v/>
      </c>
      <c r="C13" s="21">
        <f>SUM($C$5:$C$12)</f>
        <v/>
      </c>
      <c r="D13" s="21">
        <f>SUM($D$5:$D$12)</f>
        <v/>
      </c>
      <c r="E13" s="21">
        <f>SUM($E$5:$E$12)</f>
        <v/>
      </c>
      <c r="F13" s="21">
        <f>IF($C$13=0,0,$B$13*100000/$C$13)</f>
        <v/>
      </c>
      <c r="G13" s="22">
        <f>IF($E$13=0,0,$B$13/$E$13)</f>
        <v/>
      </c>
      <c r="H13" s="51">
        <f>SUM($H$5:$H$12)</f>
        <v/>
      </c>
      <c r="I13" s="56">
        <f>IF($B$13=0,0,$H$13*100/$B$13)</f>
        <v/>
      </c>
    </row>
    <row r="14"/>
    <row r="15">
      <c r="A15" s="24" t="inlineStr">
        <is>
          <t>Lead-to-Conversion Funnel</t>
        </is>
      </c>
    </row>
    <row r="16" ht="28" customHeight="1">
      <c r="A16" s="4" t="inlineStr">
        <is>
          <t>Funnel Stage</t>
        </is>
      </c>
      <c r="B16" s="4" t="inlineStr">
        <is>
          <t>Volume</t>
        </is>
      </c>
      <c r="C16" s="4" t="inlineStr">
        <is>
          <t>Stage Conv %</t>
        </is>
      </c>
      <c r="D16" s="4" t="inlineStr">
        <is>
          <t>Drop-Off %</t>
        </is>
      </c>
      <c r="E16" s="4" t="inlineStr">
        <is>
          <t>Cumulative Eff %</t>
        </is>
      </c>
    </row>
    <row r="17">
      <c r="A17" s="11" t="inlineStr">
        <is>
          <t>Digital Impressions</t>
        </is>
      </c>
      <c r="B17" s="6" t="n">
        <v>5000000</v>
      </c>
      <c r="C17" s="5" t="inlineStr">
        <is>
          <t>--</t>
        </is>
      </c>
      <c r="D17" s="5" t="inlineStr">
        <is>
          <t>--</t>
        </is>
      </c>
      <c r="E17" s="57" t="n">
        <v>1</v>
      </c>
    </row>
    <row r="18">
      <c r="A18" s="11" t="inlineStr">
        <is>
          <t>Clicks / Engagement</t>
        </is>
      </c>
      <c r="B18" s="6" t="n">
        <v>75000</v>
      </c>
      <c r="C18" s="18">
        <f>$B$18/$B$17</f>
        <v/>
      </c>
      <c r="D18" s="18">
        <f>1-$C$18</f>
        <v/>
      </c>
      <c r="E18" s="57">
        <f>$B$18/$B$17</f>
        <v/>
      </c>
    </row>
    <row r="19">
      <c r="A19" s="11" t="inlineStr">
        <is>
          <t>Lead Submissions</t>
        </is>
      </c>
      <c r="B19" s="6" t="n">
        <v>5400</v>
      </c>
      <c r="C19" s="18">
        <f>$B$19/$B$18</f>
        <v/>
      </c>
      <c r="D19" s="18">
        <f>1-$C$19</f>
        <v/>
      </c>
      <c r="E19" s="57">
        <f>$B$19/$B$17</f>
        <v/>
      </c>
    </row>
    <row r="20">
      <c r="A20" s="11" t="inlineStr">
        <is>
          <t>Qualified Leads (MQL)</t>
        </is>
      </c>
      <c r="B20" s="6" t="n">
        <v>2700</v>
      </c>
      <c r="C20" s="18">
        <f>$B$20/$B$19</f>
        <v/>
      </c>
      <c r="D20" s="18">
        <f>1-$C$20</f>
        <v/>
      </c>
      <c r="E20" s="57">
        <f>$B$20/$B$17</f>
        <v/>
      </c>
    </row>
    <row r="21">
      <c r="A21" s="11" t="inlineStr">
        <is>
          <t>Site Visits Booked</t>
        </is>
      </c>
      <c r="B21" s="6" t="n">
        <v>810</v>
      </c>
      <c r="C21" s="18">
        <f>$B$21/$B$20</f>
        <v/>
      </c>
      <c r="D21" s="18">
        <f>1-$C$21</f>
        <v/>
      </c>
      <c r="E21" s="57">
        <f>$B$21/$B$17</f>
        <v/>
      </c>
    </row>
    <row r="22">
      <c r="A22" s="11" t="inlineStr">
        <is>
          <t>Site Visits Done</t>
        </is>
      </c>
      <c r="B22" s="6" t="n">
        <v>450</v>
      </c>
      <c r="C22" s="18">
        <f>$B$22/$B$21</f>
        <v/>
      </c>
      <c r="D22" s="18">
        <f>1-$C$22</f>
        <v/>
      </c>
      <c r="E22" s="57">
        <f>$B$22/$B$17</f>
        <v/>
      </c>
    </row>
    <row r="23">
      <c r="A23" s="11" t="inlineStr">
        <is>
          <t>Booking Intent</t>
        </is>
      </c>
      <c r="B23" s="6" t="n">
        <v>135</v>
      </c>
      <c r="C23" s="18">
        <f>$B$23/$B$22</f>
        <v/>
      </c>
      <c r="D23" s="18">
        <f>1-$C$23</f>
        <v/>
      </c>
      <c r="E23" s="57">
        <f>$B$23/$B$17</f>
        <v/>
      </c>
    </row>
    <row r="24">
      <c r="A24" s="11" t="inlineStr">
        <is>
          <t>Confirmed Bookings</t>
        </is>
      </c>
      <c r="B24" s="6" t="n">
        <v>41</v>
      </c>
      <c r="C24" s="18">
        <f>$B$24/$B$23</f>
        <v/>
      </c>
      <c r="D24" s="18">
        <f>1-$C$24</f>
        <v/>
      </c>
      <c r="E24" s="57">
        <f>$B$24/$B$17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C3AED"/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1" t="inlineStr">
        <is>
          <t>Scenario &amp; Sensitivity Analysis</t>
        </is>
      </c>
    </row>
    <row r="2">
      <c r="A2" s="2" t="inlineStr">
        <is>
          <t>Bear/Base/Bull/Stress P&amp;L computed via formulas referencing Assumptions</t>
        </is>
      </c>
    </row>
    <row r="3"/>
    <row r="4">
      <c r="A4" s="58" t="inlineStr">
        <is>
          <t>Scenario Multipliers (Change these to adjust scenarios)</t>
        </is>
      </c>
    </row>
    <row r="5" ht="28" customHeight="1">
      <c r="A5" s="59" t="inlineStr">
        <is>
          <t>Parameter</t>
        </is>
      </c>
      <c r="B5" s="59" t="inlineStr">
        <is>
          <t>Bear Factor</t>
        </is>
      </c>
      <c r="C5" s="59" t="inlineStr">
        <is>
          <t>Base Factor</t>
        </is>
      </c>
      <c r="D5" s="59" t="inlineStr">
        <is>
          <t>Bull Factor</t>
        </is>
      </c>
      <c r="E5" s="59" t="inlineStr">
        <is>
          <t>Stress Factor</t>
        </is>
      </c>
    </row>
    <row r="6">
      <c r="A6" s="11" t="inlineStr">
        <is>
          <t>ASP Multiplier</t>
        </is>
      </c>
      <c r="B6" s="60" t="n">
        <v>0.85</v>
      </c>
      <c r="C6" s="61" t="n">
        <v>1</v>
      </c>
      <c r="D6" s="62" t="n">
        <v>1.12</v>
      </c>
      <c r="E6" s="63" t="n">
        <v>0.78</v>
      </c>
    </row>
    <row r="7">
      <c r="A7" s="11" t="inlineStr">
        <is>
          <t>Velocity Multiplier</t>
        </is>
      </c>
      <c r="B7" s="60" t="n">
        <v>0.67</v>
      </c>
      <c r="C7" s="61" t="n">
        <v>1</v>
      </c>
      <c r="D7" s="62" t="n">
        <v>1.5</v>
      </c>
      <c r="E7" s="63" t="n">
        <v>0.5</v>
      </c>
    </row>
    <row r="8">
      <c r="A8" s="11" t="inlineStr">
        <is>
          <t>Construction Cost Mult.</t>
        </is>
      </c>
      <c r="B8" s="60" t="n">
        <v>1.15</v>
      </c>
      <c r="C8" s="61" t="n">
        <v>1</v>
      </c>
      <c r="D8" s="62" t="n">
        <v>0.9</v>
      </c>
      <c r="E8" s="63" t="n">
        <v>1.25</v>
      </c>
    </row>
    <row r="9">
      <c r="A9" s="11" t="inlineStr">
        <is>
          <t>Interest Rate Mult.</t>
        </is>
      </c>
      <c r="B9" s="60" t="n">
        <v>1.1</v>
      </c>
      <c r="C9" s="61" t="n">
        <v>1</v>
      </c>
      <c r="D9" s="62" t="n">
        <v>0.9</v>
      </c>
      <c r="E9" s="63" t="n">
        <v>1.25</v>
      </c>
    </row>
    <row r="10">
      <c r="A10" s="11" t="inlineStr">
        <is>
          <t>GTM Cost Multiplier</t>
        </is>
      </c>
      <c r="B10" s="60" t="n">
        <v>1.2</v>
      </c>
      <c r="C10" s="61" t="n">
        <v>1</v>
      </c>
      <c r="D10" s="62" t="n">
        <v>0.8</v>
      </c>
      <c r="E10" s="63" t="n">
        <v>1.4</v>
      </c>
    </row>
    <row r="11"/>
    <row r="12">
      <c r="A12" s="24" t="inlineStr">
        <is>
          <t>Scenario P&amp;L Summary (Cr) -- All Formulas</t>
        </is>
      </c>
    </row>
    <row r="13" ht="28" customHeight="1">
      <c r="A13" s="4" t="inlineStr">
        <is>
          <t>Metric</t>
        </is>
      </c>
      <c r="B13" s="4" t="inlineStr">
        <is>
          <t>Bear Case</t>
        </is>
      </c>
      <c r="C13" s="4" t="inlineStr">
        <is>
          <t>Base Case</t>
        </is>
      </c>
      <c r="D13" s="4" t="inlineStr">
        <is>
          <t>Bull Case</t>
        </is>
      </c>
      <c r="E13" s="4" t="inlineStr">
        <is>
          <t>Stress Case</t>
        </is>
      </c>
    </row>
    <row r="14">
      <c r="A14" s="11" t="inlineStr">
        <is>
          <t>Gross Revenue (GTV)</t>
        </is>
      </c>
      <c r="B14" s="25">
        <f>'Assumptions'!$B$73*$B$6</f>
        <v/>
      </c>
      <c r="C14" s="25">
        <f>'Assumptions'!$B$73*$C$6</f>
        <v/>
      </c>
      <c r="D14" s="25">
        <f>'Assumptions'!$B$73*$D$6</f>
        <v/>
      </c>
      <c r="E14" s="25">
        <f>'Assumptions'!$B$73*$E$6</f>
        <v/>
      </c>
    </row>
    <row r="15">
      <c r="A15" s="11" t="inlineStr">
        <is>
          <t>(-) Land Cost</t>
        </is>
      </c>
      <c r="B15" s="25">
        <f>-'Assumptions'!$B$78</f>
        <v/>
      </c>
      <c r="C15" s="25">
        <f>-'Assumptions'!$B$78</f>
        <v/>
      </c>
      <c r="D15" s="25">
        <f>-'Assumptions'!$B$78</f>
        <v/>
      </c>
      <c r="E15" s="25">
        <f>-'Assumptions'!$B$78</f>
        <v/>
      </c>
    </row>
    <row r="16">
      <c r="A16" s="11" t="inlineStr">
        <is>
          <t>(-) Construction Cost</t>
        </is>
      </c>
      <c r="B16" s="25">
        <f>-'Assumptions'!$B$79*$B$8</f>
        <v/>
      </c>
      <c r="C16" s="25">
        <f>-'Assumptions'!$B$79*$C$8</f>
        <v/>
      </c>
      <c r="D16" s="25">
        <f>-'Assumptions'!$B$79*$D$8</f>
        <v/>
      </c>
      <c r="E16" s="25">
        <f>-'Assumptions'!$B$79*$E$8</f>
        <v/>
      </c>
    </row>
    <row r="17">
      <c r="A17" s="11" t="inlineStr">
        <is>
          <t>(-) GTM &amp; Marketing</t>
        </is>
      </c>
      <c r="B17" s="25">
        <f>-'Assumptions'!$B$88*$B$10</f>
        <v/>
      </c>
      <c r="C17" s="25">
        <f>-'Assumptions'!$B$88*$C$10</f>
        <v/>
      </c>
      <c r="D17" s="25">
        <f>-'Assumptions'!$B$88*$D$10</f>
        <v/>
      </c>
      <c r="E17" s="25">
        <f>-'Assumptions'!$B$88*$E$10</f>
        <v/>
      </c>
    </row>
    <row r="18">
      <c r="A18" s="11" t="inlineStr">
        <is>
          <t>(-) Statutory &amp; Contingency</t>
        </is>
      </c>
      <c r="B18" s="25">
        <f>-('Assumptions'!$B$31+'Assumptions'!$B$81)</f>
        <v/>
      </c>
      <c r="C18" s="25">
        <f>-('Assumptions'!$B$31+'Assumptions'!$B$81)</f>
        <v/>
      </c>
      <c r="D18" s="25">
        <f>-('Assumptions'!$B$31+'Assumptions'!$B$81)</f>
        <v/>
      </c>
      <c r="E18" s="25">
        <f>-('Assumptions'!$B$31+'Assumptions'!$B$81)</f>
        <v/>
      </c>
    </row>
    <row r="19">
      <c r="A19" s="11" t="inlineStr">
        <is>
          <t>(-) Debt Interest (est.)</t>
        </is>
      </c>
      <c r="B19" s="25">
        <f>-'Assumptions'!$B$73*$B$6*'Assumptions'!$B$35/100*'Assumptions'!$B$36/100*$B$9*3</f>
        <v/>
      </c>
      <c r="C19" s="25">
        <f>-'Assumptions'!$B$73*$C$6*'Assumptions'!$B$35/100*'Assumptions'!$B$36/100*$C$9*3</f>
        <v/>
      </c>
      <c r="D19" s="25">
        <f>-'Assumptions'!$B$73*$D$6*'Assumptions'!$B$35/100*'Assumptions'!$B$36/100*$D$9*3</f>
        <v/>
      </c>
      <c r="E19" s="25">
        <f>-'Assumptions'!$B$73*$E$6*'Assumptions'!$B$35/100*'Assumptions'!$B$36/100*$E$9*3</f>
        <v/>
      </c>
    </row>
    <row r="20">
      <c r="A20" s="64" t="inlineStr">
        <is>
          <t>Developer Net Profit</t>
        </is>
      </c>
      <c r="B20" s="65">
        <f>$B$14+$B$15+$B$16+$B$17+$B$18+$B$19</f>
        <v/>
      </c>
      <c r="C20" s="65">
        <f>$C$14+$C$15+$C$16+$C$17+$C$18+$C$19</f>
        <v/>
      </c>
      <c r="D20" s="65">
        <f>$D$14+$D$15+$D$16+$D$17+$D$18+$D$19</f>
        <v/>
      </c>
      <c r="E20" s="65">
        <f>$E$14+$E$15+$E$16+$E$17+$E$18+$E$19</f>
        <v/>
      </c>
    </row>
    <row r="21">
      <c r="A21" s="19" t="inlineStr">
        <is>
          <t>Net Margin %</t>
        </is>
      </c>
      <c r="B21" s="23">
        <f>$B$20/$B$14</f>
        <v/>
      </c>
      <c r="C21" s="23">
        <f>$C$20/$C$14</f>
        <v/>
      </c>
      <c r="D21" s="23">
        <f>$D$20/$D$14</f>
        <v/>
      </c>
      <c r="E21" s="23">
        <f>$E$20/$E$14</f>
        <v/>
      </c>
    </row>
    <row r="22">
      <c r="A22" s="11" t="inlineStr">
        <is>
          <t>DSCR (est.)</t>
        </is>
      </c>
      <c r="B22" s="49">
        <f>IF($B$19=0,0,($B$20/3.5)/(-$B$19/3))</f>
        <v/>
      </c>
      <c r="C22" s="49">
        <f>IF($C$19=0,0,($C$20/3.5)/(-$C$19/3))</f>
        <v/>
      </c>
      <c r="D22" s="49">
        <f>IF($D$19=0,0,($D$20/3.5)/(-$D$19/3))</f>
        <v/>
      </c>
      <c r="E22" s="49">
        <f>IF($E$19=0,0,($E$20/3.5)/(-$E$19/3))</f>
        <v/>
      </c>
    </row>
    <row r="23">
      <c r="A23" s="11" t="inlineStr">
        <is>
          <t>Gate 1 Status</t>
        </is>
      </c>
      <c r="B23" s="50">
        <f>IF($B$21&gt;=0.2,"CLEAR","BLOCKED")</f>
        <v/>
      </c>
      <c r="C23" s="50">
        <f>IF($C$21&gt;=0.2,"CLEAR","BLOCKED")</f>
        <v/>
      </c>
      <c r="D23" s="50">
        <f>IF($D$21&gt;=0.2,"CLEAR","BLOCKED")</f>
        <v/>
      </c>
      <c r="E23" s="50">
        <f>IF($E$21&gt;=0.2,"CLEAR","BLOCKED")</f>
        <v/>
      </c>
    </row>
  </sheetData>
  <mergeCells count="3">
    <mergeCell ref="A1:J1"/>
    <mergeCell ref="A4:G4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F4444"/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4" customWidth="1" min="4" max="4"/>
    <col width="22" customWidth="1" min="5" max="5"/>
    <col width="21" customWidth="1" min="6" max="6"/>
    <col width="28" customWidth="1" min="7" max="7"/>
    <col width="42" customWidth="1" min="8" max="8"/>
    <col width="16" customWidth="1" min="9" max="9"/>
    <col width="13" customWidth="1" min="10" max="10"/>
  </cols>
  <sheetData>
    <row r="1" ht="30" customHeight="1">
      <c r="A1" s="1" t="inlineStr">
        <is>
          <t>Risk-Adjusted Stage-Gate Mitigation Costing</t>
        </is>
      </c>
    </row>
    <row r="2">
      <c r="A2" s="2" t="inlineStr">
        <is>
          <t>Expected Loss = Probability x Potential Loss (formula). Mitigation budget auto-totals.</t>
        </is>
      </c>
    </row>
    <row r="3"/>
    <row r="4" ht="28" customHeight="1">
      <c r="A4" s="66" t="inlineStr">
        <is>
          <t>Risk Category</t>
        </is>
      </c>
      <c r="B4" s="66" t="inlineStr">
        <is>
          <t>Stage</t>
        </is>
      </c>
      <c r="C4" s="66" t="inlineStr">
        <is>
          <t>Severity</t>
        </is>
      </c>
      <c r="D4" s="66" t="inlineStr">
        <is>
          <t>Probability</t>
        </is>
      </c>
      <c r="E4" s="66" t="inlineStr">
        <is>
          <t>Potential Loss (Cr)</t>
        </is>
      </c>
      <c r="F4" s="66" t="inlineStr">
        <is>
          <t>Expected Loss (Cr)</t>
        </is>
      </c>
      <c r="G4" s="66" t="inlineStr">
        <is>
          <t>Mitigation Budget (Lakhs)</t>
        </is>
      </c>
      <c r="H4" s="66" t="inlineStr">
        <is>
          <t>Mechanism</t>
        </is>
      </c>
      <c r="I4" s="66" t="inlineStr">
        <is>
          <t>Residual Risk</t>
        </is>
      </c>
    </row>
    <row r="5">
      <c r="A5" s="11" t="inlineStr">
        <is>
          <t>RERA Delays</t>
        </is>
      </c>
      <c r="B5" s="5" t="inlineStr">
        <is>
          <t>S2</t>
        </is>
      </c>
      <c r="C5" s="67" t="inlineStr">
        <is>
          <t>HIGH</t>
        </is>
      </c>
      <c r="D5" s="48" t="n">
        <v>0.15</v>
      </c>
      <c r="E5" s="25" t="n">
        <v>25</v>
      </c>
      <c r="F5" s="9">
        <f>$D$5*$E$5</f>
        <v/>
      </c>
      <c r="G5" s="25" t="n">
        <v>50</v>
      </c>
      <c r="H5" s="5" t="inlineStr">
        <is>
          <t>Gate 2 blocks marketing until RERA active</t>
        </is>
      </c>
      <c r="I5" s="68" t="inlineStr">
        <is>
          <t>LOW</t>
        </is>
      </c>
    </row>
    <row r="6">
      <c r="A6" s="11" t="inlineStr">
        <is>
          <t>Broker Apathy</t>
        </is>
      </c>
      <c r="B6" s="5" t="inlineStr">
        <is>
          <t>S2</t>
        </is>
      </c>
      <c r="C6" s="69" t="inlineStr">
        <is>
          <t>MEDIUM</t>
        </is>
      </c>
      <c r="D6" s="48" t="n">
        <v>0.25</v>
      </c>
      <c r="E6" s="25" t="n">
        <v>15</v>
      </c>
      <c r="F6" s="9">
        <f>$D$6*$E$6</f>
        <v/>
      </c>
      <c r="G6" s="25" t="n">
        <v>80</v>
      </c>
      <c r="H6" s="5" t="inlineStr">
        <is>
          <t>CP Ranker auto-tiering incentives</t>
        </is>
      </c>
      <c r="I6" s="68" t="inlineStr">
        <is>
          <t>LOW</t>
        </is>
      </c>
    </row>
    <row r="7">
      <c r="A7" s="11" t="inlineStr">
        <is>
          <t>Weak EOI Corpus</t>
        </is>
      </c>
      <c r="B7" s="5" t="inlineStr">
        <is>
          <t>S3</t>
        </is>
      </c>
      <c r="C7" s="67" t="inlineStr">
        <is>
          <t>HIGH</t>
        </is>
      </c>
      <c r="D7" s="48" t="n">
        <v>0.2</v>
      </c>
      <c r="E7" s="25" t="n">
        <v>40</v>
      </c>
      <c r="F7" s="9">
        <f>$D$7*$E$7</f>
        <v/>
      </c>
      <c r="G7" s="25" t="n">
        <v>120</v>
      </c>
      <c r="H7" s="5" t="inlineStr">
        <is>
          <t>Gate 3 mandates 12 Cr tokens</t>
        </is>
      </c>
      <c r="I7" s="68" t="inlineStr">
        <is>
          <t>MEDIUM</t>
        </is>
      </c>
    </row>
    <row r="8">
      <c r="A8" s="11" t="inlineStr">
        <is>
          <t>CAC Inflation</t>
        </is>
      </c>
      <c r="B8" s="5" t="inlineStr">
        <is>
          <t>S4</t>
        </is>
      </c>
      <c r="C8" s="69" t="inlineStr">
        <is>
          <t>MEDIUM</t>
        </is>
      </c>
      <c r="D8" s="48" t="n">
        <v>0.3</v>
      </c>
      <c r="E8" s="25" t="n">
        <v>12</v>
      </c>
      <c r="F8" s="9">
        <f>$D$8*$E$8</f>
        <v/>
      </c>
      <c r="G8" s="25" t="n">
        <v>45</v>
      </c>
      <c r="H8" s="5" t="inlineStr">
        <is>
          <t>Astra Phoenix lead revival via n8n</t>
        </is>
      </c>
      <c r="I8" s="68" t="inlineStr">
        <is>
          <t>LOW</t>
        </is>
      </c>
    </row>
    <row r="9">
      <c r="A9" s="11" t="inlineStr">
        <is>
          <t>Absorption Lag</t>
        </is>
      </c>
      <c r="B9" s="5" t="inlineStr">
        <is>
          <t>S4</t>
        </is>
      </c>
      <c r="C9" s="70" t="inlineStr">
        <is>
          <t>LOW</t>
        </is>
      </c>
      <c r="D9" s="48" t="n">
        <v>0.2</v>
      </c>
      <c r="E9" s="25" t="n">
        <v>8</v>
      </c>
      <c r="F9" s="9">
        <f>$D$9*$E$9</f>
        <v/>
      </c>
      <c r="G9" s="25" t="n">
        <v>30</v>
      </c>
      <c r="H9" s="5" t="inlineStr">
        <is>
          <t>Barbell pricing flex (10-90 plans)</t>
        </is>
      </c>
      <c r="I9" s="68" t="inlineStr">
        <is>
          <t>LOW</t>
        </is>
      </c>
    </row>
    <row r="10">
      <c r="A10" s="11" t="inlineStr">
        <is>
          <t>Cost Overruns</t>
        </is>
      </c>
      <c r="B10" s="5" t="inlineStr">
        <is>
          <t>S4</t>
        </is>
      </c>
      <c r="C10" s="69" t="inlineStr">
        <is>
          <t>MEDIUM</t>
        </is>
      </c>
      <c r="D10" s="48" t="n">
        <v>0.25</v>
      </c>
      <c r="E10" s="25" t="n">
        <v>30</v>
      </c>
      <c r="F10" s="9">
        <f>$D$10*$E$10</f>
        <v/>
      </c>
      <c r="G10" s="25" t="n">
        <v>0</v>
      </c>
      <c r="H10" s="5" t="inlineStr">
        <is>
          <t>Developer contingency buffer</t>
        </is>
      </c>
      <c r="I10" s="68" t="inlineStr">
        <is>
          <t>MEDIUM</t>
        </is>
      </c>
    </row>
    <row r="11">
      <c r="A11" s="11" t="inlineStr">
        <is>
          <t>Rate Hikes</t>
        </is>
      </c>
      <c r="B11" s="5" t="inlineStr">
        <is>
          <t>All</t>
        </is>
      </c>
      <c r="C11" s="69" t="inlineStr">
        <is>
          <t>MEDIUM</t>
        </is>
      </c>
      <c r="D11" s="48" t="n">
        <v>0.2</v>
      </c>
      <c r="E11" s="25" t="n">
        <v>18</v>
      </c>
      <c r="F11" s="9">
        <f>$D$11*$E$11</f>
        <v/>
      </c>
      <c r="G11" s="25" t="n">
        <v>0</v>
      </c>
      <c r="H11" s="5" t="inlineStr">
        <is>
          <t>Velocity acceleration compresses tenure</t>
        </is>
      </c>
      <c r="I11" s="68" t="inlineStr">
        <is>
          <t>LOW</t>
        </is>
      </c>
    </row>
    <row r="12">
      <c r="A12" s="19" t="inlineStr">
        <is>
          <t>TOTALS</t>
        </is>
      </c>
      <c r="B12" s="71" t="n"/>
      <c r="C12" s="71" t="n"/>
      <c r="D12" s="71" t="n"/>
      <c r="E12" s="51">
        <f>SUM($E$5:$E$11)</f>
        <v/>
      </c>
      <c r="F12" s="22">
        <f>SUM($F$5:$F$11)</f>
        <v/>
      </c>
      <c r="G12" s="51">
        <f>SUM($G$5:$G$11)</f>
        <v/>
      </c>
      <c r="H12" s="71" t="n"/>
      <c r="I12" s="71" t="n"/>
    </row>
    <row r="13">
      <c r="A13" s="11" t="inlineStr">
        <is>
          <t>Mitigation Budget as % of GTV:</t>
        </is>
      </c>
      <c r="B13" s="72">
        <f>$G$12/100/'Assumptions'!$B$73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3002F"/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24" customWidth="1" min="3" max="3"/>
    <col width="17" customWidth="1" min="4" max="4"/>
    <col width="25" customWidth="1" min="5" max="5"/>
    <col width="2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1" t="inlineStr">
        <is>
          <t>Anarock Engagement Fee Structure &amp; Revenue Model</t>
        </is>
      </c>
    </row>
    <row r="2">
      <c r="A2" s="2" t="inlineStr">
        <is>
          <t>All fees computed from Assumptions. Change rates to recalculate Anarock revenue.</t>
        </is>
      </c>
    </row>
    <row r="3"/>
    <row r="4" ht="28" customHeight="1">
      <c r="A4" s="4" t="inlineStr">
        <is>
          <t>Fee Component</t>
        </is>
      </c>
      <c r="B4" s="4" t="inlineStr">
        <is>
          <t>Rate</t>
        </is>
      </c>
      <c r="C4" s="4" t="inlineStr">
        <is>
          <t>Basis</t>
        </is>
      </c>
      <c r="D4" s="4" t="inlineStr">
        <is>
          <t>Revenue (Cr)</t>
        </is>
      </c>
      <c r="E4" s="4" t="inlineStr">
        <is>
          <t>Payment Trigger</t>
        </is>
      </c>
    </row>
    <row r="5">
      <c r="A5" s="11" t="inlineStr">
        <is>
          <t>Brokerage Commission</t>
        </is>
      </c>
      <c r="B5" s="5">
        <f>'Assumptions'!$B$40&amp;"%"</f>
        <v/>
      </c>
      <c r="C5" s="5" t="inlineStr">
        <is>
          <t>Per unit sale</t>
        </is>
      </c>
      <c r="D5" s="9">
        <f>'Assumptions'!$B$73*'Assumptions'!$B$40/100</f>
        <v/>
      </c>
      <c r="E5" s="5" t="inlineStr">
        <is>
          <t>On each sale closure</t>
        </is>
      </c>
    </row>
    <row r="6">
      <c r="A6" s="11" t="inlineStr">
        <is>
          <t>Marketing Management Fee</t>
        </is>
      </c>
      <c r="B6" s="5">
        <f>'Assumptions'!$B$41&amp;"%"</f>
        <v/>
      </c>
      <c r="C6" s="5" t="inlineStr">
        <is>
          <t>Monthly retainer</t>
        </is>
      </c>
      <c r="D6" s="9">
        <f>'Assumptions'!$B$73*'Assumptions'!$B$41/100</f>
        <v/>
      </c>
      <c r="E6" s="5" t="inlineStr">
        <is>
          <t>Monthly during S3-S4</t>
        </is>
      </c>
    </row>
    <row r="7">
      <c r="A7" s="11" t="inlineStr">
        <is>
          <t>AI Platform License</t>
        </is>
      </c>
      <c r="B7" s="5">
        <f>'Assumptions'!$B$42&amp;" L/mo"</f>
        <v/>
      </c>
      <c r="C7" s="5" t="inlineStr">
        <is>
          <t>SaaS monthly</t>
        </is>
      </c>
      <c r="D7" s="9">
        <f>'Assumptions'!$B$42*42/100</f>
        <v/>
      </c>
      <c r="E7" s="5" t="inlineStr">
        <is>
          <t>Monthly active mandate</t>
        </is>
      </c>
    </row>
    <row r="8">
      <c r="A8" s="11" t="inlineStr">
        <is>
          <t>CP Mobilization Fee</t>
        </is>
      </c>
      <c r="B8" s="5" t="inlineStr">
        <is>
          <t>One-time</t>
        </is>
      </c>
      <c r="C8" s="5" t="inlineStr">
        <is>
          <t>On activation</t>
        </is>
      </c>
      <c r="D8" s="9">
        <f>'Assumptions'!$B$43/100</f>
        <v/>
      </c>
      <c r="E8" s="5" t="inlineStr">
        <is>
          <t>Gate 2 clearance</t>
        </is>
      </c>
    </row>
    <row r="9">
      <c r="A9" s="11" t="inlineStr">
        <is>
          <t>Performance Bonus</t>
        </is>
      </c>
      <c r="B9" s="5">
        <f>'Assumptions'!$B$44&amp;"%"</f>
        <v/>
      </c>
      <c r="C9" s="5" t="inlineStr">
        <is>
          <t>Quarterly if &gt;15 u/mo</t>
        </is>
      </c>
      <c r="D9" s="9">
        <f>'Assumptions'!$B$73*'Assumptions'!$B$44/100</f>
        <v/>
      </c>
      <c r="E9" s="5" t="inlineStr">
        <is>
          <t>Quarterly review</t>
        </is>
      </c>
    </row>
    <row r="10">
      <c r="A10" s="73" t="inlineStr">
        <is>
          <t>TOTAL ANAROCK REVENUE</t>
        </is>
      </c>
      <c r="B10" s="74" t="n"/>
      <c r="C10" s="74" t="n"/>
      <c r="D10" s="75">
        <f>SUM($D$5:$D$9)</f>
        <v/>
      </c>
      <c r="E10" s="74" t="n"/>
    </row>
    <row r="11">
      <c r="A11" s="11" t="inlineStr">
        <is>
          <t>as % of GTV</t>
        </is>
      </c>
      <c r="D11" s="72">
        <f>$D$10/'Assumptions'!$B$73</f>
        <v/>
      </c>
    </row>
    <row r="12">
      <c r="A12" s="11" t="inlineStr">
        <is>
          <t>as % of Developer Net Profit</t>
        </is>
      </c>
      <c r="D12" s="72">
        <f>$D$10/'Assumptions'!$B$92</f>
        <v/>
      </c>
    </row>
    <row r="13"/>
    <row r="14"/>
    <row r="15">
      <c r="A15" s="24" t="inlineStr">
        <is>
          <t>Anarock Revenue by Phase (Cr)</t>
        </is>
      </c>
    </row>
    <row r="16" ht="28" customHeight="1">
      <c r="A16" s="4" t="inlineStr">
        <is>
          <t>Period</t>
        </is>
      </c>
      <c r="B16" s="4" t="inlineStr">
        <is>
          <t>% of Total Units</t>
        </is>
      </c>
      <c r="C16" s="4" t="inlineStr">
        <is>
          <t>Units Sold</t>
        </is>
      </c>
      <c r="D16" s="4" t="inlineStr">
        <is>
          <t>Brokerage (Cr)</t>
        </is>
      </c>
      <c r="E16" s="4" t="inlineStr">
        <is>
          <t>Marketing Fee (Cr)</t>
        </is>
      </c>
      <c r="F16" s="4" t="inlineStr">
        <is>
          <t>Platform Fee (Cr)</t>
        </is>
      </c>
      <c r="G16" s="4" t="inlineStr">
        <is>
          <t>Total (Cr)</t>
        </is>
      </c>
    </row>
    <row r="17">
      <c r="A17" s="11" t="inlineStr">
        <is>
          <t>M1-M2 (Discovery)</t>
        </is>
      </c>
      <c r="B17" s="18" t="n">
        <v>0</v>
      </c>
      <c r="C17" s="6">
        <f>ROUND($B$17*'Assumptions'!$B$74,0)</f>
        <v/>
      </c>
      <c r="D17" s="9">
        <f>$C$17*'Assumptions'!$B$76*'Assumptions'!$B$40/100</f>
        <v/>
      </c>
      <c r="E17" s="9">
        <f>$C$17*'Assumptions'!$B$76*'Assumptions'!$B$41/100</f>
        <v/>
      </c>
      <c r="F17" s="9">
        <f>2*'Assumptions'!$B$42/100</f>
        <v/>
      </c>
      <c r="G17" s="9">
        <f>$D$17+$E$17+$F$17</f>
        <v/>
      </c>
    </row>
    <row r="18">
      <c r="A18" s="11" t="inlineStr">
        <is>
          <t>M3-M4 (GTM Prep)</t>
        </is>
      </c>
      <c r="B18" s="18" t="n">
        <v>0</v>
      </c>
      <c r="C18" s="6">
        <f>ROUND($B$18*'Assumptions'!$B$74,0)</f>
        <v/>
      </c>
      <c r="D18" s="9">
        <f>$C$18*'Assumptions'!$B$76*'Assumptions'!$B$40/100</f>
        <v/>
      </c>
      <c r="E18" s="9">
        <f>$C$18*'Assumptions'!$B$76*'Assumptions'!$B$41/100</f>
        <v/>
      </c>
      <c r="F18" s="9">
        <f>2*'Assumptions'!$B$42/100</f>
        <v/>
      </c>
      <c r="G18" s="9">
        <f>$D$18+$E$18+$F$18</f>
        <v/>
      </c>
    </row>
    <row r="19">
      <c r="A19" s="11" t="inlineStr">
        <is>
          <t>M5 (Soft Launch)</t>
        </is>
      </c>
      <c r="B19" s="18" t="n">
        <v>0.15</v>
      </c>
      <c r="C19" s="6">
        <f>ROUND($B$19*'Assumptions'!$B$74,0)</f>
        <v/>
      </c>
      <c r="D19" s="9">
        <f>$C$19*'Assumptions'!$B$76*'Assumptions'!$B$40/100</f>
        <v/>
      </c>
      <c r="E19" s="9">
        <f>$C$19*'Assumptions'!$B$76*'Assumptions'!$B$41/100</f>
        <v/>
      </c>
      <c r="F19" s="9">
        <f>1*'Assumptions'!$B$42/100</f>
        <v/>
      </c>
      <c r="G19" s="9">
        <f>$D$19+$E$19+$F$19</f>
        <v/>
      </c>
    </row>
    <row r="20">
      <c r="A20" s="11" t="inlineStr">
        <is>
          <t>M6-M12 (Launch)</t>
        </is>
      </c>
      <c r="B20" s="18" t="n">
        <v>0.27</v>
      </c>
      <c r="C20" s="6">
        <f>ROUND($B$20*'Assumptions'!$B$74,0)</f>
        <v/>
      </c>
      <c r="D20" s="9">
        <f>$C$20*'Assumptions'!$B$76*'Assumptions'!$B$40/100</f>
        <v/>
      </c>
      <c r="E20" s="9">
        <f>$C$20*'Assumptions'!$B$76*'Assumptions'!$B$41/100</f>
        <v/>
      </c>
      <c r="F20" s="9">
        <f>7*'Assumptions'!$B$42/100</f>
        <v/>
      </c>
      <c r="G20" s="9">
        <f>$D$20+$E$20+$F$20</f>
        <v/>
      </c>
    </row>
    <row r="21">
      <c r="A21" s="11" t="inlineStr">
        <is>
          <t>M13-M24 (Sustenance)</t>
        </is>
      </c>
      <c r="B21" s="18" t="n">
        <v>0.31</v>
      </c>
      <c r="C21" s="6">
        <f>ROUND($B$21*'Assumptions'!$B$74,0)</f>
        <v/>
      </c>
      <c r="D21" s="9">
        <f>$C$21*'Assumptions'!$B$76*'Assumptions'!$B$40/100</f>
        <v/>
      </c>
      <c r="E21" s="9">
        <f>$C$21*'Assumptions'!$B$76*'Assumptions'!$B$41/100</f>
        <v/>
      </c>
      <c r="F21" s="9">
        <f>12*'Assumptions'!$B$42/100</f>
        <v/>
      </c>
      <c r="G21" s="9">
        <f>$D$21+$E$21+$F$21</f>
        <v/>
      </c>
    </row>
    <row r="22">
      <c r="A22" s="11" t="inlineStr">
        <is>
          <t>M25-M36 (Sustenance)</t>
        </is>
      </c>
      <c r="B22" s="18" t="n">
        <v>0.205</v>
      </c>
      <c r="C22" s="6">
        <f>ROUND($B$22*'Assumptions'!$B$74,0)</f>
        <v/>
      </c>
      <c r="D22" s="9">
        <f>$C$22*'Assumptions'!$B$76*'Assumptions'!$B$40/100</f>
        <v/>
      </c>
      <c r="E22" s="9">
        <f>$C$22*'Assumptions'!$B$76*'Assumptions'!$B$41/100</f>
        <v/>
      </c>
      <c r="F22" s="9">
        <f>12*'Assumptions'!$B$42/100</f>
        <v/>
      </c>
      <c r="G22" s="9">
        <f>$D$22+$E$22+$F$22</f>
        <v/>
      </c>
    </row>
    <row r="23">
      <c r="A23" s="11" t="inlineStr">
        <is>
          <t>M37-M42 (Wrapex)</t>
        </is>
      </c>
      <c r="B23" s="18" t="n">
        <v>0.065</v>
      </c>
      <c r="C23" s="6">
        <f>ROUND($B$23*'Assumptions'!$B$74,0)</f>
        <v/>
      </c>
      <c r="D23" s="9">
        <f>$C$23*'Assumptions'!$B$76*'Assumptions'!$B$40/100</f>
        <v/>
      </c>
      <c r="E23" s="9">
        <f>$C$23*'Assumptions'!$B$76*'Assumptions'!$B$41/100</f>
        <v/>
      </c>
      <c r="F23" s="9">
        <f>6*'Assumptions'!$B$42/100</f>
        <v/>
      </c>
      <c r="G23" s="9">
        <f>$D$23+$E$23+$F$23</f>
        <v/>
      </c>
    </row>
    <row r="24">
      <c r="A24" s="19" t="inlineStr">
        <is>
          <t>TOTAL</t>
        </is>
      </c>
      <c r="B24" s="23">
        <f>SUM($B$17:$B$23)</f>
        <v/>
      </c>
      <c r="C24" s="21">
        <f>SUM($C$17:$C$23)</f>
        <v/>
      </c>
      <c r="D24" s="22">
        <f>SUM($D$17:$D$23)</f>
        <v/>
      </c>
      <c r="E24" s="22">
        <f>SUM($E$17:$E$23)</f>
        <v/>
      </c>
      <c r="F24" s="22">
        <f>SUM($F$17:$F$23)</f>
        <v/>
      </c>
      <c r="G24" s="22">
        <f>SUM($G$17:$G$23)</f>
        <v/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2026-06-03T02:09:21Z</dcterms:created>
  <dcterms:modified xmlns:dcterms="http://purl.org/dc/terms/" xmlns:xsi="http://www.w3.org/2001/XMLSchema-instance" xsi:type="dcterms:W3CDTF">2026-06-03T02:09:21Z</dcterms:modified>
</cp:coreProperties>
</file>