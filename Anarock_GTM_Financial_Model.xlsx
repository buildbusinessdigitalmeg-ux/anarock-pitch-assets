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e7fdf710afc7af8a/Documents/Business Consulting/Jobs/Anarock/"/>
    </mc:Choice>
  </mc:AlternateContent>
  <xr:revisionPtr revIDLastSave="1" documentId="11_978668755B15B72B54FACB901CAADAA7F7B07875" xr6:coauthVersionLast="47" xr6:coauthVersionMax="47" xr10:uidLastSave="{7CAFA54B-81E6-43DA-9F86-1E0420B9FED5}"/>
  <bookViews>
    <workbookView xWindow="-98" yWindow="-98" windowWidth="22695" windowHeight="13546" xr2:uid="{00000000-000D-0000-FFFF-FFFF00000000}"/>
  </bookViews>
  <sheets>
    <sheet name="Assumptions" sheetId="1" r:id="rId1"/>
    <sheet name="Revenue Waterfall" sheetId="2" r:id="rId2"/>
    <sheet name="Cost Structure &amp; PnL" sheetId="3" r:id="rId3"/>
    <sheet name="Cash Flow Projection" sheetId="4" r:id="rId4"/>
    <sheet name="IRR &amp; DSCR Analysis" sheetId="5" r:id="rId5"/>
    <sheet name="Stage-Gate Budget" sheetId="6" r:id="rId6"/>
    <sheet name="CAC &amp; Marketing Analysis" sheetId="7" r:id="rId7"/>
    <sheet name="Sensitivity Analysis" sheetId="8" r:id="rId8"/>
    <sheet name="Risk Mitigation" sheetId="9" r:id="rId9"/>
    <sheet name="Anarock Fee Structure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4" i="10" l="1"/>
  <c r="F23" i="10"/>
  <c r="F22" i="10"/>
  <c r="F21" i="10"/>
  <c r="F20" i="10"/>
  <c r="F19" i="10"/>
  <c r="F18" i="10"/>
  <c r="F17" i="10"/>
  <c r="F24" i="10" s="1"/>
  <c r="B9" i="10"/>
  <c r="D8" i="10"/>
  <c r="D7" i="10"/>
  <c r="B7" i="10"/>
  <c r="B6" i="10"/>
  <c r="B5" i="10"/>
  <c r="G12" i="9"/>
  <c r="E12" i="9"/>
  <c r="F11" i="9"/>
  <c r="F10" i="9"/>
  <c r="F9" i="9"/>
  <c r="F8" i="9"/>
  <c r="F7" i="9"/>
  <c r="F6" i="9"/>
  <c r="F5" i="9"/>
  <c r="F12" i="9" s="1"/>
  <c r="E24" i="7"/>
  <c r="C24" i="7"/>
  <c r="D24" i="7" s="1"/>
  <c r="E23" i="7"/>
  <c r="C23" i="7"/>
  <c r="D23" i="7" s="1"/>
  <c r="E22" i="7"/>
  <c r="C22" i="7"/>
  <c r="D22" i="7" s="1"/>
  <c r="E21" i="7"/>
  <c r="C21" i="7"/>
  <c r="D21" i="7" s="1"/>
  <c r="E20" i="7"/>
  <c r="C20" i="7"/>
  <c r="D20" i="7" s="1"/>
  <c r="E19" i="7"/>
  <c r="C19" i="7"/>
  <c r="D19" i="7" s="1"/>
  <c r="E18" i="7"/>
  <c r="C18" i="7"/>
  <c r="D18" i="7" s="1"/>
  <c r="E13" i="7"/>
  <c r="G13" i="7" s="1"/>
  <c r="D13" i="7"/>
  <c r="C13" i="7"/>
  <c r="F13" i="7" s="1"/>
  <c r="B13" i="7"/>
  <c r="G12" i="7"/>
  <c r="F12" i="7"/>
  <c r="G11" i="7"/>
  <c r="F11" i="7"/>
  <c r="G10" i="7"/>
  <c r="F10" i="7"/>
  <c r="G9" i="7"/>
  <c r="F9" i="7"/>
  <c r="G8" i="7"/>
  <c r="F8" i="7"/>
  <c r="G7" i="7"/>
  <c r="F7" i="7"/>
  <c r="G6" i="7"/>
  <c r="F6" i="7"/>
  <c r="G5" i="7"/>
  <c r="F5" i="7"/>
  <c r="D32" i="6"/>
  <c r="C32" i="6"/>
  <c r="E31" i="6"/>
  <c r="F31" i="6" s="1"/>
  <c r="E30" i="6"/>
  <c r="F30" i="6" s="1"/>
  <c r="E29" i="6"/>
  <c r="F29" i="6" s="1"/>
  <c r="E28" i="6"/>
  <c r="F28" i="6" s="1"/>
  <c r="E27" i="6"/>
  <c r="F27" i="6" s="1"/>
  <c r="E26" i="6"/>
  <c r="F26" i="6" s="1"/>
  <c r="E25" i="6"/>
  <c r="F25" i="6" s="1"/>
  <c r="D23" i="6"/>
  <c r="C23" i="6"/>
  <c r="E22" i="6"/>
  <c r="F22" i="6" s="1"/>
  <c r="E21" i="6"/>
  <c r="F21" i="6" s="1"/>
  <c r="E20" i="6"/>
  <c r="F20" i="6" s="1"/>
  <c r="E19" i="6"/>
  <c r="F19" i="6" s="1"/>
  <c r="D17" i="6"/>
  <c r="C17" i="6"/>
  <c r="E16" i="6"/>
  <c r="F16" i="6" s="1"/>
  <c r="E15" i="6"/>
  <c r="F15" i="6" s="1"/>
  <c r="E14" i="6"/>
  <c r="F14" i="6" s="1"/>
  <c r="E13" i="6"/>
  <c r="F13" i="6" s="1"/>
  <c r="E12" i="6"/>
  <c r="F12" i="6" s="1"/>
  <c r="E11" i="6"/>
  <c r="F11" i="6" s="1"/>
  <c r="D9" i="6"/>
  <c r="D34" i="6" s="1"/>
  <c r="C9" i="6"/>
  <c r="E8" i="6"/>
  <c r="F8" i="6" s="1"/>
  <c r="E7" i="6"/>
  <c r="F7" i="6" s="1"/>
  <c r="E6" i="6"/>
  <c r="F6" i="6" s="1"/>
  <c r="E5" i="6"/>
  <c r="F5" i="6" s="1"/>
  <c r="H21" i="4"/>
  <c r="D21" i="4"/>
  <c r="E18" i="4"/>
  <c r="B16" i="3"/>
  <c r="B14" i="3"/>
  <c r="B13" i="3"/>
  <c r="B12" i="3"/>
  <c r="B10" i="3"/>
  <c r="C9" i="3"/>
  <c r="B6" i="3"/>
  <c r="B5" i="3"/>
  <c r="D8" i="2"/>
  <c r="F7" i="2"/>
  <c r="E7" i="2"/>
  <c r="D7" i="2"/>
  <c r="C7" i="2"/>
  <c r="F6" i="2"/>
  <c r="E6" i="2"/>
  <c r="D6" i="2"/>
  <c r="C6" i="2"/>
  <c r="F5" i="2"/>
  <c r="E5" i="2"/>
  <c r="D5" i="2"/>
  <c r="C5" i="2"/>
  <c r="B86" i="1"/>
  <c r="B85" i="1"/>
  <c r="B79" i="1"/>
  <c r="B78" i="1"/>
  <c r="B74" i="1"/>
  <c r="B72" i="1"/>
  <c r="B71" i="1"/>
  <c r="B70" i="1"/>
  <c r="B8" i="1"/>
  <c r="E32" i="6" l="1"/>
  <c r="F32" i="6"/>
  <c r="E23" i="6"/>
  <c r="F23" i="6"/>
  <c r="E17" i="6"/>
  <c r="F17" i="6" s="1"/>
  <c r="E9" i="6"/>
  <c r="F9" i="6" s="1"/>
  <c r="C34" i="6"/>
  <c r="C15" i="3"/>
  <c r="D15" i="3"/>
  <c r="D14" i="3"/>
  <c r="C14" i="3"/>
  <c r="G7" i="4"/>
  <c r="G6" i="4"/>
  <c r="G5" i="4"/>
  <c r="C6" i="3"/>
  <c r="D6" i="3"/>
  <c r="E16" i="8"/>
  <c r="D16" i="8"/>
  <c r="C16" i="8"/>
  <c r="B16" i="8"/>
  <c r="G20" i="4"/>
  <c r="G12" i="4"/>
  <c r="G19" i="4"/>
  <c r="G18" i="4"/>
  <c r="G17" i="4"/>
  <c r="G16" i="4"/>
  <c r="G15" i="4"/>
  <c r="G14" i="4"/>
  <c r="G13" i="4"/>
  <c r="G11" i="4"/>
  <c r="G10" i="4"/>
  <c r="G9" i="4"/>
  <c r="G8" i="4"/>
  <c r="C15" i="8"/>
  <c r="D15" i="8"/>
  <c r="B15" i="8"/>
  <c r="E15" i="8"/>
  <c r="D5" i="3"/>
  <c r="C5" i="3"/>
  <c r="B80" i="1"/>
  <c r="E15" i="4"/>
  <c r="E10" i="4"/>
  <c r="E19" i="4"/>
  <c r="E9" i="4"/>
  <c r="E14" i="4"/>
  <c r="E8" i="4"/>
  <c r="E16" i="4"/>
  <c r="E7" i="4"/>
  <c r="E13" i="4"/>
  <c r="E6" i="4"/>
  <c r="E20" i="4"/>
  <c r="E5" i="4"/>
  <c r="E12" i="4"/>
  <c r="D17" i="2"/>
  <c r="I17" i="2" s="1"/>
  <c r="D16" i="2"/>
  <c r="I16" i="2" s="1"/>
  <c r="D14" i="2"/>
  <c r="I14" i="2" s="1"/>
  <c r="E11" i="4"/>
  <c r="C23" i="10"/>
  <c r="C22" i="10"/>
  <c r="C17" i="10"/>
  <c r="C21" i="10"/>
  <c r="E17" i="4"/>
  <c r="D18" i="2"/>
  <c r="I18" i="2" s="1"/>
  <c r="D15" i="2"/>
  <c r="I15" i="2" s="1"/>
  <c r="D13" i="2"/>
  <c r="I13" i="2" s="1"/>
  <c r="C20" i="10"/>
  <c r="C8" i="2"/>
  <c r="D12" i="2"/>
  <c r="C19" i="10"/>
  <c r="C18" i="10"/>
  <c r="H7" i="2"/>
  <c r="G7" i="2"/>
  <c r="H6" i="2"/>
  <c r="G6" i="2"/>
  <c r="G5" i="2"/>
  <c r="B73" i="1"/>
  <c r="H5" i="2"/>
  <c r="E34" i="6" l="1"/>
  <c r="F34" i="6" s="1"/>
  <c r="D7" i="3"/>
  <c r="C7" i="3"/>
  <c r="B81" i="1"/>
  <c r="K5" i="4"/>
  <c r="K6" i="4" s="1"/>
  <c r="K7" i="4" s="1"/>
  <c r="K8" i="4" s="1"/>
  <c r="K9" i="4" s="1"/>
  <c r="K10" i="4" s="1"/>
  <c r="K11" i="4" s="1"/>
  <c r="K12" i="4" s="1"/>
  <c r="K13" i="4" s="1"/>
  <c r="K14" i="4" s="1"/>
  <c r="K15" i="4" s="1"/>
  <c r="K16" i="4" s="1"/>
  <c r="K17" i="4" s="1"/>
  <c r="K18" i="4" s="1"/>
  <c r="K19" i="4" s="1"/>
  <c r="K20" i="4" s="1"/>
  <c r="E21" i="4"/>
  <c r="D23" i="10"/>
  <c r="E23" i="10"/>
  <c r="D22" i="10"/>
  <c r="C24" i="10"/>
  <c r="F12" i="2"/>
  <c r="F13" i="2" s="1"/>
  <c r="F14" i="2" s="1"/>
  <c r="F15" i="2" s="1"/>
  <c r="F16" i="2" s="1"/>
  <c r="F17" i="2" s="1"/>
  <c r="F18" i="2" s="1"/>
  <c r="I12" i="2"/>
  <c r="B13" i="9"/>
  <c r="B87" i="1"/>
  <c r="B95" i="1"/>
  <c r="B96" i="1" s="1"/>
  <c r="H8" i="2"/>
  <c r="E15" i="2"/>
  <c r="E16" i="2"/>
  <c r="D9" i="3"/>
  <c r="C21" i="3"/>
  <c r="F5" i="4"/>
  <c r="F6" i="4"/>
  <c r="I6" i="4" s="1"/>
  <c r="F7" i="4"/>
  <c r="I7" i="4" s="1"/>
  <c r="F8" i="4"/>
  <c r="I8" i="4" s="1"/>
  <c r="F9" i="4"/>
  <c r="I9" i="4" s="1"/>
  <c r="F10" i="4"/>
  <c r="I10" i="4" s="1"/>
  <c r="F11" i="4"/>
  <c r="I11" i="4" s="1"/>
  <c r="F12" i="4"/>
  <c r="I12" i="4" s="1"/>
  <c r="F13" i="4"/>
  <c r="I13" i="4" s="1"/>
  <c r="F14" i="4"/>
  <c r="I14" i="4" s="1"/>
  <c r="F15" i="4"/>
  <c r="I15" i="4" s="1"/>
  <c r="F16" i="4"/>
  <c r="I16" i="4" s="1"/>
  <c r="F17" i="4"/>
  <c r="I17" i="4" s="1"/>
  <c r="F18" i="4"/>
  <c r="I18" i="4" s="1"/>
  <c r="F19" i="4"/>
  <c r="I19" i="4" s="1"/>
  <c r="F20" i="4"/>
  <c r="I20" i="4" s="1"/>
  <c r="C19" i="5"/>
  <c r="E19" i="5" s="1"/>
  <c r="C20" i="5"/>
  <c r="E20" i="5" s="1"/>
  <c r="C21" i="5"/>
  <c r="E21" i="5" s="1"/>
  <c r="C22" i="5"/>
  <c r="E22" i="5" s="1"/>
  <c r="C23" i="5"/>
  <c r="E23" i="5" s="1"/>
  <c r="B14" i="8"/>
  <c r="C14" i="8"/>
  <c r="D14" i="8"/>
  <c r="E14" i="8"/>
  <c r="B19" i="8"/>
  <c r="C19" i="8"/>
  <c r="D19" i="8"/>
  <c r="E19" i="8"/>
  <c r="D9" i="10"/>
  <c r="D5" i="10"/>
  <c r="D6" i="10"/>
  <c r="B75" i="1"/>
  <c r="F8" i="2" s="1"/>
  <c r="B76" i="1"/>
  <c r="B83" i="1"/>
  <c r="B84" i="1"/>
  <c r="E12" i="2"/>
  <c r="G12" i="2" s="1"/>
  <c r="E13" i="2"/>
  <c r="E14" i="2"/>
  <c r="E17" i="2"/>
  <c r="E18" i="2"/>
  <c r="G21" i="4"/>
  <c r="I7" i="2"/>
  <c r="I5" i="2"/>
  <c r="I6" i="2"/>
  <c r="C10" i="3" l="1"/>
  <c r="D10" i="3"/>
  <c r="B18" i="8"/>
  <c r="C18" i="8"/>
  <c r="D18" i="8"/>
  <c r="E18" i="8"/>
  <c r="C16" i="3"/>
  <c r="D16" i="3"/>
  <c r="I5" i="4"/>
  <c r="F21" i="4"/>
  <c r="G8" i="2"/>
  <c r="H5" i="7"/>
  <c r="H6" i="7"/>
  <c r="I6" i="7" s="1"/>
  <c r="H7" i="7"/>
  <c r="I7" i="7" s="1"/>
  <c r="H8" i="7"/>
  <c r="I8" i="7" s="1"/>
  <c r="H9" i="7"/>
  <c r="I9" i="7" s="1"/>
  <c r="H10" i="7"/>
  <c r="I10" i="7" s="1"/>
  <c r="H11" i="7"/>
  <c r="I11" i="7" s="1"/>
  <c r="H12" i="7"/>
  <c r="I12" i="7" s="1"/>
  <c r="B88" i="1"/>
  <c r="C12" i="3"/>
  <c r="D12" i="3"/>
  <c r="C13" i="3"/>
  <c r="D13" i="3"/>
  <c r="H12" i="2"/>
  <c r="G13" i="2"/>
  <c r="D10" i="10"/>
  <c r="G23" i="10"/>
  <c r="F6" i="5"/>
  <c r="D17" i="10"/>
  <c r="E17" i="10"/>
  <c r="D21" i="10"/>
  <c r="E21" i="10"/>
  <c r="D20" i="10"/>
  <c r="E20" i="10"/>
  <c r="D19" i="10"/>
  <c r="E19" i="10"/>
  <c r="D18" i="10"/>
  <c r="E18" i="10"/>
  <c r="E22" i="10"/>
  <c r="G22" i="10" s="1"/>
  <c r="J5" i="4" l="1"/>
  <c r="J6" i="4" s="1"/>
  <c r="J7" i="4" s="1"/>
  <c r="J8" i="4" s="1"/>
  <c r="J9" i="4" s="1"/>
  <c r="J10" i="4" s="1"/>
  <c r="J11" i="4" s="1"/>
  <c r="J12" i="4" s="1"/>
  <c r="J13" i="4" s="1"/>
  <c r="J14" i="4" s="1"/>
  <c r="J15" i="4" s="1"/>
  <c r="J16" i="4" s="1"/>
  <c r="J17" i="4" s="1"/>
  <c r="J18" i="4" s="1"/>
  <c r="J19" i="4" s="1"/>
  <c r="J20" i="4" s="1"/>
  <c r="I21" i="4"/>
  <c r="I5" i="7"/>
  <c r="H13" i="7"/>
  <c r="I13" i="7" s="1"/>
  <c r="F10" i="5"/>
  <c r="B89" i="1"/>
  <c r="C17" i="3"/>
  <c r="D17" i="3"/>
  <c r="B17" i="8"/>
  <c r="B20" i="8" s="1"/>
  <c r="C17" i="8"/>
  <c r="C20" i="8" s="1"/>
  <c r="D17" i="8"/>
  <c r="D20" i="8" s="1"/>
  <c r="E17" i="8"/>
  <c r="E20" i="8" s="1"/>
  <c r="G14" i="2"/>
  <c r="H13" i="2"/>
  <c r="D11" i="10"/>
  <c r="D24" i="10"/>
  <c r="G17" i="10"/>
  <c r="G21" i="10"/>
  <c r="G20" i="10"/>
  <c r="G19" i="10"/>
  <c r="G18" i="10"/>
  <c r="E24" i="10"/>
  <c r="D9" i="5"/>
  <c r="B8" i="5"/>
  <c r="E8" i="5"/>
  <c r="C9" i="5"/>
  <c r="E9" i="5"/>
  <c r="D10" i="5"/>
  <c r="D6" i="5"/>
  <c r="C7" i="5"/>
  <c r="D8" i="5"/>
  <c r="B9" i="5"/>
  <c r="F9" i="5"/>
  <c r="B6" i="5"/>
  <c r="D7" i="5"/>
  <c r="F7" i="5"/>
  <c r="C8" i="5"/>
  <c r="C10" i="5"/>
  <c r="E10" i="5"/>
  <c r="B91" i="1"/>
  <c r="B7" i="5"/>
  <c r="E6" i="5"/>
  <c r="F8" i="5"/>
  <c r="B10" i="5"/>
  <c r="C6" i="5"/>
  <c r="E7" i="5"/>
  <c r="B22" i="8" l="1"/>
  <c r="B21" i="8"/>
  <c r="B23" i="8" s="1"/>
  <c r="C22" i="8"/>
  <c r="C21" i="8"/>
  <c r="C23" i="8" s="1"/>
  <c r="D22" i="8"/>
  <c r="D21" i="8"/>
  <c r="D23" i="8" s="1"/>
  <c r="E22" i="8"/>
  <c r="E21" i="8"/>
  <c r="E23" i="8" s="1"/>
  <c r="H14" i="2"/>
  <c r="G15" i="2"/>
  <c r="B92" i="1"/>
  <c r="E9" i="3"/>
  <c r="E12" i="3"/>
  <c r="E13" i="3"/>
  <c r="E16" i="3"/>
  <c r="E17" i="3"/>
  <c r="C19" i="3"/>
  <c r="D19" i="3"/>
  <c r="C22" i="3"/>
  <c r="D22" i="3"/>
  <c r="E5" i="3"/>
  <c r="E6" i="3"/>
  <c r="E7" i="3"/>
  <c r="E10" i="3"/>
  <c r="E14" i="3"/>
  <c r="E15" i="3"/>
  <c r="G24" i="10"/>
  <c r="H15" i="2" l="1"/>
  <c r="G16" i="2"/>
  <c r="D12" i="10"/>
  <c r="B97" i="1"/>
  <c r="B93" i="1"/>
  <c r="C24" i="3" s="1"/>
  <c r="D23" i="3"/>
  <c r="C23" i="3"/>
  <c r="H16" i="2" l="1"/>
  <c r="G17" i="2"/>
  <c r="B98" i="1"/>
  <c r="F19" i="5"/>
  <c r="G19" i="5" s="1"/>
  <c r="H19" i="5" s="1"/>
  <c r="F20" i="5"/>
  <c r="G20" i="5" s="1"/>
  <c r="H20" i="5" s="1"/>
  <c r="F21" i="5"/>
  <c r="G21" i="5" s="1"/>
  <c r="H21" i="5" s="1"/>
  <c r="F22" i="5"/>
  <c r="G22" i="5" s="1"/>
  <c r="H22" i="5" s="1"/>
  <c r="F23" i="5"/>
  <c r="G23" i="5" s="1"/>
  <c r="H23" i="5" s="1"/>
  <c r="H17" i="2" l="1"/>
  <c r="G18" i="2"/>
  <c r="H18" i="2" s="1"/>
</calcChain>
</file>

<file path=xl/sharedStrings.xml><?xml version="1.0" encoding="utf-8"?>
<sst xmlns="http://schemas.openxmlformats.org/spreadsheetml/2006/main" count="629" uniqueCount="493">
  <si>
    <t>ANAROCK GTM Financial Model -- Meda East Winds</t>
  </si>
  <si>
    <t>All inputs on this sheet drive the entire model. Change any value below and all sheets recalculate.</t>
  </si>
  <si>
    <t>PROJECT PARAMETERS</t>
  </si>
  <si>
    <t>Parameter</t>
  </si>
  <si>
    <t>Value</t>
  </si>
  <si>
    <t>Unit</t>
  </si>
  <si>
    <t>Notes</t>
  </si>
  <si>
    <t>Total Saleable Area</t>
  </si>
  <si>
    <t>sft</t>
  </si>
  <si>
    <t>Net saleable area</t>
  </si>
  <si>
    <t>Average Apartment Size</t>
  </si>
  <si>
    <t>Weighted average across tiers</t>
  </si>
  <si>
    <t>Total Units (calculated)</t>
  </si>
  <si>
    <t>Units</t>
  </si>
  <si>
    <t>--- Tier 1: Value Entry (2BHK) ---</t>
  </si>
  <si>
    <t>T1 Units</t>
  </si>
  <si>
    <t>Compact 2BHK</t>
  </si>
  <si>
    <t>T1 Avg Size</t>
  </si>
  <si>
    <t>Per unit</t>
  </si>
  <si>
    <t>T1 Base Price</t>
  </si>
  <si>
    <t>Rs/sft</t>
  </si>
  <si>
    <t>Launch price</t>
  </si>
  <si>
    <t>T1 Effective Price</t>
  </si>
  <si>
    <t>After premiums</t>
  </si>
  <si>
    <t>--- Tier 2: Core Premium (3BHK) ---</t>
  </si>
  <si>
    <t>T2 Units</t>
  </si>
  <si>
    <t>Premium 3BHK</t>
  </si>
  <si>
    <t>T2 Avg Size</t>
  </si>
  <si>
    <t>T2 Base Price</t>
  </si>
  <si>
    <t>T2 Effective Price</t>
  </si>
  <si>
    <t>--- Tier 3: Signature Luxury ---</t>
  </si>
  <si>
    <t>T3 Units</t>
  </si>
  <si>
    <t>Penthouses / 4BHK</t>
  </si>
  <si>
    <t>T3 Avg Size</t>
  </si>
  <si>
    <t>T3 Base Price</t>
  </si>
  <si>
    <t>T3 Effective Price</t>
  </si>
  <si>
    <t>--- Cost Parameters ---</t>
  </si>
  <si>
    <t>Land Acquisition Cost</t>
  </si>
  <si>
    <t>Upfront equity</t>
  </si>
  <si>
    <t>Construction Cost (All-in)</t>
  </si>
  <si>
    <t>Incl. amenities, MEP, finishing</t>
  </si>
  <si>
    <t>Statutory &amp; Approvals</t>
  </si>
  <si>
    <t>Cr</t>
  </si>
  <si>
    <t>RERA, BDA, BBMP</t>
  </si>
  <si>
    <t>Contingency %</t>
  </si>
  <si>
    <t>%</t>
  </si>
  <si>
    <t>As % of hard cost</t>
  </si>
  <si>
    <t>--- Financing ---</t>
  </si>
  <si>
    <t>Debt LTV Ratio</t>
  </si>
  <si>
    <t>Loan-to-value</t>
  </si>
  <si>
    <t>Debt Interest Rate</t>
  </si>
  <si>
    <t>Annual</t>
  </si>
  <si>
    <t>Loan Tenure</t>
  </si>
  <si>
    <t>Months</t>
  </si>
  <si>
    <t>Construction finance</t>
  </si>
  <si>
    <t>--- Anarock GTM Fees ---</t>
  </si>
  <si>
    <t>Brokerage Commission Rate</t>
  </si>
  <si>
    <t>Of GTV per sale</t>
  </si>
  <si>
    <t>Marketing Budget Rate</t>
  </si>
  <si>
    <t>Of GTV</t>
  </si>
  <si>
    <t>AI Platform Monthly Fee</t>
  </si>
  <si>
    <t>Lakhs/mo</t>
  </si>
  <si>
    <t>Astra, Genie, CP Ranker</t>
  </si>
  <si>
    <t>CP Mobilization (One-time)</t>
  </si>
  <si>
    <t>Lakhs</t>
  </si>
  <si>
    <t>200 broker onboarding</t>
  </si>
  <si>
    <t>Performance Bonus Rate</t>
  </si>
  <si>
    <t>Incremental if velocity &gt;15/mo</t>
  </si>
  <si>
    <t>--- Sales Velocity ---</t>
  </si>
  <si>
    <t>Target Monthly Velocity</t>
  </si>
  <si>
    <t>Units/mo</t>
  </si>
  <si>
    <t>Gate 4 threshold</t>
  </si>
  <si>
    <t>Pre-Launch Soft Bookings %</t>
  </si>
  <si>
    <t>Gate 3: % of total units</t>
  </si>
  <si>
    <t>--- Gate Thresholds ---</t>
  </si>
  <si>
    <t>Gate 1: Min Equity IRR</t>
  </si>
  <si>
    <t>Mandate sign-off hurdle</t>
  </si>
  <si>
    <t>Gate 1: Max Overhang</t>
  </si>
  <si>
    <t>Inventory overhang index</t>
  </si>
  <si>
    <t>Gate 2: Min CPs</t>
  </si>
  <si>
    <t>CPs</t>
  </si>
  <si>
    <t>Pre-registered channel partners</t>
  </si>
  <si>
    <t>Gate 3: Min Token Corpus</t>
  </si>
  <si>
    <t>EOI token aggregation</t>
  </si>
  <si>
    <t>Gate 3: Astra Accuracy</t>
  </si>
  <si>
    <t>Prediction accuracy</t>
  </si>
  <si>
    <t>Gate 4: Max CAC</t>
  </si>
  <si>
    <t>% of GTV</t>
  </si>
  <si>
    <t>Gate 4: Min Lead Revival</t>
  </si>
  <si>
    <t>Astra Phoenix success rate</t>
  </si>
  <si>
    <t>--- Project Timeline ---</t>
  </si>
  <si>
    <t>Discovery Phase</t>
  </si>
  <si>
    <t>Stage 1</t>
  </si>
  <si>
    <t>GTM Prep Phase</t>
  </si>
  <si>
    <t>Stage 2</t>
  </si>
  <si>
    <t>Soft Launch Phase</t>
  </si>
  <si>
    <t>Stage 3</t>
  </si>
  <si>
    <t>Public Launch Phase</t>
  </si>
  <si>
    <t>Stage 4 initial</t>
  </si>
  <si>
    <t>Sustenance Phase</t>
  </si>
  <si>
    <t>Stage 4 ongoing</t>
  </si>
  <si>
    <t>Wrapex Phase</t>
  </si>
  <si>
    <t>Wind-down</t>
  </si>
  <si>
    <t>Handover Phase</t>
  </si>
  <si>
    <t>Final handovers</t>
  </si>
  <si>
    <t>COMPUTED SUMMARY (All Formulas)</t>
  </si>
  <si>
    <t>Metric</t>
  </si>
  <si>
    <t>Formula Result</t>
  </si>
  <si>
    <t>Formula Description</t>
  </si>
  <si>
    <t>T1 Tier GTV</t>
  </si>
  <si>
    <t>T1 Units x T1 Size x T1 Eff Price / 10^7</t>
  </si>
  <si>
    <t>T2 Tier GTV</t>
  </si>
  <si>
    <t>T2 Units x T2 Size x T2 Eff Price / 10^7</t>
  </si>
  <si>
    <t>T3 Tier GTV</t>
  </si>
  <si>
    <t>T3 Units x T3 Size x T3 Eff Price / 10^7</t>
  </si>
  <si>
    <t>Total Project GTV</t>
  </si>
  <si>
    <t>Sum of all tier GTVs</t>
  </si>
  <si>
    <t>Total Units (Sum)</t>
  </si>
  <si>
    <t>Sum of tier units</t>
  </si>
  <si>
    <t>Blended ASP</t>
  </si>
  <si>
    <t>Total GTV / Total Area</t>
  </si>
  <si>
    <t>Avg Ticket Size</t>
  </si>
  <si>
    <t>GTV / Total Units</t>
  </si>
  <si>
    <t>Land Cost (Total)</t>
  </si>
  <si>
    <t>Area x Land Rate / 10^7</t>
  </si>
  <si>
    <t>Construction Cost (Total)</t>
  </si>
  <si>
    <t>Area x Const Rate / 10^7</t>
  </si>
  <si>
    <t>Total Hard Costs</t>
  </si>
  <si>
    <t>Land + Construction</t>
  </si>
  <si>
    <t>Contingency Amount</t>
  </si>
  <si>
    <t>Contingency % x Hard Costs</t>
  </si>
  <si>
    <t>Brokerage Cost</t>
  </si>
  <si>
    <t>GTV x Brokerage Rate</t>
  </si>
  <si>
    <t>Marketing Cost</t>
  </si>
  <si>
    <t>GTV x Marketing Rate</t>
  </si>
  <si>
    <t>AI Platform Cost (42 mo)</t>
  </si>
  <si>
    <t>Monthly fee x 42 months / 100</t>
  </si>
  <si>
    <t>CP Mobilization Cost</t>
  </si>
  <si>
    <t>One-time / 100 for Cr</t>
  </si>
  <si>
    <t>Performance Bonus</t>
  </si>
  <si>
    <t>GTV x Bonus Rate</t>
  </si>
  <si>
    <t>Total Anarock GTM Cost</t>
  </si>
  <si>
    <t>Sum of all Anarock fees</t>
  </si>
  <si>
    <t>Anarock GTM as % of GTV</t>
  </si>
  <si>
    <t>Total Anarock / GTV x 100</t>
  </si>
  <si>
    <t>Total Project Cost</t>
  </si>
  <si>
    <t>Hard Costs + Statutory + Contingency + GTM</t>
  </si>
  <si>
    <t>Developer Net Profit</t>
  </si>
  <si>
    <t>GTV - Total Project Cost</t>
  </si>
  <si>
    <t>Net Margin %</t>
  </si>
  <si>
    <t>Net Profit / GTV x 100</t>
  </si>
  <si>
    <t>Debt Amount</t>
  </si>
  <si>
    <t>GTV x LTV</t>
  </si>
  <si>
    <t>Annual Debt Service</t>
  </si>
  <si>
    <t>Debt x Interest Rate</t>
  </si>
  <si>
    <t>Annual NOI (est.)</t>
  </si>
  <si>
    <t>Estimated net operating income</t>
  </si>
  <si>
    <t>DSCR</t>
  </si>
  <si>
    <t>x</t>
  </si>
  <si>
    <t>NOI / Debt Service</t>
  </si>
  <si>
    <t>Revenue Waterfall -- Barbell Pricing Architecture</t>
  </si>
  <si>
    <t>All cells reference Assumptions sheet. Change tier inputs to recalculate.</t>
  </si>
  <si>
    <t>Tier</t>
  </si>
  <si>
    <t>Configuration</t>
  </si>
  <si>
    <t>Unit Count</t>
  </si>
  <si>
    <t>Avg Size (sft)</t>
  </si>
  <si>
    <t>Base Price (Rs/sft)</t>
  </si>
  <si>
    <t>Effective Price (Rs/sft)</t>
  </si>
  <si>
    <t>Avg Ticket (Cr)</t>
  </si>
  <si>
    <t>Tier GTV (Cr)</t>
  </si>
  <si>
    <t>% of Total GTV</t>
  </si>
  <si>
    <t>Value Entry</t>
  </si>
  <si>
    <t>Compact 2 BHK</t>
  </si>
  <si>
    <t>Core Premium</t>
  </si>
  <si>
    <t>Premium 3 BHK</t>
  </si>
  <si>
    <t>Signature Luxury</t>
  </si>
  <si>
    <t>Penthouses / 4 BHK</t>
  </si>
  <si>
    <t>TOTAL / BLENDED</t>
  </si>
  <si>
    <t>Revenue Phasing by GTM Stage</t>
  </si>
  <si>
    <t>GTM Stage</t>
  </si>
  <si>
    <t>Timeline</t>
  </si>
  <si>
    <t>% of Units Sold</t>
  </si>
  <si>
    <t>Units Sold</t>
  </si>
  <si>
    <t>Revenue (Cr)</t>
  </si>
  <si>
    <t>Cumulative Units</t>
  </si>
  <si>
    <t>Cumulative Revenue (Cr)</t>
  </si>
  <si>
    <t>% GTV Achieved</t>
  </si>
  <si>
    <t>Avg Velocity (units/mo)</t>
  </si>
  <si>
    <t>S1: Pre-Mandate Discovery</t>
  </si>
  <si>
    <t>Month 1-2</t>
  </si>
  <si>
    <t>S2: GTM &amp; Creative Prep</t>
  </si>
  <si>
    <t>Month 3-4</t>
  </si>
  <si>
    <t>S3: Pre-Launch Soft Bookings</t>
  </si>
  <si>
    <t>Month 5</t>
  </si>
  <si>
    <t>S4: Public Launch (M6-M12)</t>
  </si>
  <si>
    <t>Month 6-12</t>
  </si>
  <si>
    <t>S4: Sustenance (M13-M24)</t>
  </si>
  <si>
    <t>Month 13-24</t>
  </si>
  <si>
    <t>S4: Sustenance (M25-M36)</t>
  </si>
  <si>
    <t>Month 25-36</t>
  </si>
  <si>
    <t>S4: Wrapex &amp; Final</t>
  </si>
  <si>
    <t>Month 37-42</t>
  </si>
  <si>
    <t>Project Cost Structure &amp; Developer P&amp;L</t>
  </si>
  <si>
    <t>All costs computed from Assumptions inputs. Change rates to see P&amp;L impact.</t>
  </si>
  <si>
    <t>Cost Category</t>
  </si>
  <si>
    <t>Rate / Basis</t>
  </si>
  <si>
    <t>Total Cost (Cr)</t>
  </si>
  <si>
    <t>% of Total Cost</t>
  </si>
  <si>
    <t>Land Acquisition (Equity)</t>
  </si>
  <si>
    <t>Upfront equity outlay</t>
  </si>
  <si>
    <t>Incl. amenities, MEP</t>
  </si>
  <si>
    <t>TOTAL HARD COSTS</t>
  </si>
  <si>
    <t>Fixed</t>
  </si>
  <si>
    <t>Contingency</t>
  </si>
  <si>
    <t>Risk buffer</t>
  </si>
  <si>
    <t>Anarock Brokerage</t>
  </si>
  <si>
    <t>Per sale closure</t>
  </si>
  <si>
    <t>Anarock Marketing</t>
  </si>
  <si>
    <t>Digital + OOH</t>
  </si>
  <si>
    <t>AI Platform License</t>
  </si>
  <si>
    <t>CP Mobilization</t>
  </si>
  <si>
    <t>One-time</t>
  </si>
  <si>
    <t>Broker onboarding</t>
  </si>
  <si>
    <t>If velocity &gt;15/mo</t>
  </si>
  <si>
    <t>TOTAL ANAROCK GTM COST</t>
  </si>
  <si>
    <t>TOTAL PROJECT COST</t>
  </si>
  <si>
    <t>GROSS REVENUE (GTV)</t>
  </si>
  <si>
    <t>(-) Total Project Cost</t>
  </si>
  <si>
    <t>DEVELOPER NET PROFIT</t>
  </si>
  <si>
    <t>NET MARGIN %</t>
  </si>
  <si>
    <t>Quarterly Cash Flow Projection -- 48 Month Lifecycle</t>
  </si>
  <si>
    <t>Inflows from sales, outflows for construction &amp; GTM. Cumulative computed via formulas.</t>
  </si>
  <si>
    <t>Quarter</t>
  </si>
  <si>
    <t>% Units Sold</t>
  </si>
  <si>
    <t>Sale Revenue (Cr)</t>
  </si>
  <si>
    <t>Construction Out (Cr)</t>
  </si>
  <si>
    <t>GTM Cost Out (Cr)</t>
  </si>
  <si>
    <t>Net Cash Flow (Cr)</t>
  </si>
  <si>
    <t>Cumulative CF (Cr)</t>
  </si>
  <si>
    <t>Q1</t>
  </si>
  <si>
    <t>M1-M3</t>
  </si>
  <si>
    <t>S1: Discovery</t>
  </si>
  <si>
    <t>Q2</t>
  </si>
  <si>
    <t>M4-M6</t>
  </si>
  <si>
    <t>S2-S3: Prep + Soft</t>
  </si>
  <si>
    <t>Q3</t>
  </si>
  <si>
    <t>M7-M9</t>
  </si>
  <si>
    <t>S4: Public Launch</t>
  </si>
  <si>
    <t>Q4</t>
  </si>
  <si>
    <t>M10-M12</t>
  </si>
  <si>
    <t>S4: Launch Momentum</t>
  </si>
  <si>
    <t>Q5</t>
  </si>
  <si>
    <t>M13-M15</t>
  </si>
  <si>
    <t>S4: Sustenance</t>
  </si>
  <si>
    <t>Q6</t>
  </si>
  <si>
    <t>M16-M18</t>
  </si>
  <si>
    <t>Q7</t>
  </si>
  <si>
    <t>M19-M21</t>
  </si>
  <si>
    <t>Q8</t>
  </si>
  <si>
    <t>M22-M24</t>
  </si>
  <si>
    <t>Q9</t>
  </si>
  <si>
    <t>M25-M27</t>
  </si>
  <si>
    <t>Q10</t>
  </si>
  <si>
    <t>M28-M30</t>
  </si>
  <si>
    <t>Q11</t>
  </si>
  <si>
    <t>M31-M33</t>
  </si>
  <si>
    <t>Q12</t>
  </si>
  <si>
    <t>M34-M36</t>
  </si>
  <si>
    <t>S4: Winding Down</t>
  </si>
  <si>
    <t>Q13</t>
  </si>
  <si>
    <t>M37-M39</t>
  </si>
  <si>
    <t>Wrapex</t>
  </si>
  <si>
    <t>Q14</t>
  </si>
  <si>
    <t>M40-M42</t>
  </si>
  <si>
    <t>Q15</t>
  </si>
  <si>
    <t>M43-M45</t>
  </si>
  <si>
    <t>Handover</t>
  </si>
  <si>
    <t>Q16</t>
  </si>
  <si>
    <t>M46-M48</t>
  </si>
  <si>
    <t>Final Handover</t>
  </si>
  <si>
    <t>TOTAL</t>
  </si>
  <si>
    <t>Developer Equity IRR &amp; DSCR Sensitivity</t>
  </si>
  <si>
    <t>Matrix shows estimated IRR at various ASP x Velocity combos. Base case highlighted.</t>
  </si>
  <si>
    <t>IRR Sensitivity Matrix -- ASP vs. Sales Velocity</t>
  </si>
  <si>
    <t>ASP \ Velocity</t>
  </si>
  <si>
    <t>8 u/mo</t>
  </si>
  <si>
    <t>10 u/mo</t>
  </si>
  <si>
    <t>12 u/mo (Target)</t>
  </si>
  <si>
    <t>15 u/mo</t>
  </si>
  <si>
    <t>18 u/mo</t>
  </si>
  <si>
    <t>Rs 8,500</t>
  </si>
  <si>
    <t>Rs 9,200</t>
  </si>
  <si>
    <t>Rs 10,200 (Base)</t>
  </si>
  <si>
    <t>Rs 10,800</t>
  </si>
  <si>
    <t>Rs 11,500</t>
  </si>
  <si>
    <t>Green: Strong IRR zone (above base)</t>
  </si>
  <si>
    <t>Blue: Base case scenario</t>
  </si>
  <si>
    <t>Gray: Computed from Assumptions -- change inputs to update</t>
  </si>
  <si>
    <t>DSCR Scenario Analysis</t>
  </si>
  <si>
    <t>Scenario</t>
  </si>
  <si>
    <t>LTV %</t>
  </si>
  <si>
    <t>Debt (Cr)</t>
  </si>
  <si>
    <t>Interest %</t>
  </si>
  <si>
    <t>Annual Debt Svc (Cr)</t>
  </si>
  <si>
    <t>Annual NOI (Cr)</t>
  </si>
  <si>
    <t>Gate Status</t>
  </si>
  <si>
    <t>Conservative</t>
  </si>
  <si>
    <t>Base Case</t>
  </si>
  <si>
    <t>Aggressive</t>
  </si>
  <si>
    <t>Stressed</t>
  </si>
  <si>
    <t>Worst Case</t>
  </si>
  <si>
    <t>GTM Stage-Gate Budget Tracker</t>
  </si>
  <si>
    <t>Budget column links to Assumptions. Actual Spend is user-input. Variance auto-calculates.</t>
  </si>
  <si>
    <t>Stage</t>
  </si>
  <si>
    <t>Activity</t>
  </si>
  <si>
    <t>Budget (Lakhs)</t>
  </si>
  <si>
    <t>Actual Spend (Lakhs)</t>
  </si>
  <si>
    <t>Variance (Lakhs)</t>
  </si>
  <si>
    <t>Var %</t>
  </si>
  <si>
    <t>Owner</t>
  </si>
  <si>
    <t>Status</t>
  </si>
  <si>
    <t>S1</t>
  </si>
  <si>
    <t>Competitor Conjoint Analysis</t>
  </si>
  <si>
    <t>Research</t>
  </si>
  <si>
    <t>Micro-Market Demand Heatmap</t>
  </si>
  <si>
    <t>Data Science</t>
  </si>
  <si>
    <t>Financial Hurdle Model</t>
  </si>
  <si>
    <t>Finance</t>
  </si>
  <si>
    <t>Legal Due Diligence</t>
  </si>
  <si>
    <t>Legal</t>
  </si>
  <si>
    <t>Stage 1 Subtotal</t>
  </si>
  <si>
    <t>S2</t>
  </si>
  <si>
    <t>Barbell Pricing Architecture</t>
  </si>
  <si>
    <t>Pricing</t>
  </si>
  <si>
    <t>Walk-in Genie AI Training</t>
  </si>
  <si>
    <t>AI Team</t>
  </si>
  <si>
    <t>CP Ranker &amp; Mobilization</t>
  </si>
  <si>
    <t>CP Ops</t>
  </si>
  <si>
    <t>Site Experience Office</t>
  </si>
  <si>
    <t>Developer</t>
  </si>
  <si>
    <t>Creative Kit &amp; Collaterals</t>
  </si>
  <si>
    <t>Creative</t>
  </si>
  <si>
    <t>RERA Registration Support</t>
  </si>
  <si>
    <t>Stage 2 Subtotal</t>
  </si>
  <si>
    <t>S3</t>
  </si>
  <si>
    <t>Concierge MVP Events (5x)</t>
  </si>
  <si>
    <t>Sales Ops</t>
  </si>
  <si>
    <t>Astra Platinum Integration</t>
  </si>
  <si>
    <t>EOI Token Campaign</t>
  </si>
  <si>
    <t>Marketing</t>
  </si>
  <si>
    <t>CP Launch Events</t>
  </si>
  <si>
    <t>Stage 3 Subtotal</t>
  </si>
  <si>
    <t>S4</t>
  </si>
  <si>
    <t>360 Digital Campaign (Meta/Google)</t>
  </si>
  <si>
    <t>Digital</t>
  </si>
  <si>
    <t>Local OOH &amp; Print</t>
  </si>
  <si>
    <t>Media</t>
  </si>
  <si>
    <t>n8n Lead Revival (Astra Phoenix)</t>
  </si>
  <si>
    <t>Mandate Health Dashboard</t>
  </si>
  <si>
    <t>BI Team</t>
  </si>
  <si>
    <t>CP Commission Pool</t>
  </si>
  <si>
    <t>Sales Team Ops</t>
  </si>
  <si>
    <t>Sales</t>
  </si>
  <si>
    <t>Site Event Marketing</t>
  </si>
  <si>
    <t>Events</t>
  </si>
  <si>
    <t>Stage 4 Subtotal</t>
  </si>
  <si>
    <t>GRAND TOTAL</t>
  </si>
  <si>
    <t>CAC &amp; Marketing Funnel Analysis</t>
  </si>
  <si>
    <t>CPL, CAC, and ROAS calculated via formulas. Adjust budget/leads to see impact.</t>
  </si>
  <si>
    <t>Channel</t>
  </si>
  <si>
    <t>Monthly Budget (Lakhs)</t>
  </si>
  <si>
    <t>Leads/Mo</t>
  </si>
  <si>
    <t>Site Visits/Mo</t>
  </si>
  <si>
    <t>Conversions/Mo</t>
  </si>
  <si>
    <t>CPL (Rs)</t>
  </si>
  <si>
    <t>CAC per Unit (Lakhs)</t>
  </si>
  <si>
    <t>Channel Revenue (Cr/mo)</t>
  </si>
  <si>
    <t>ROAS</t>
  </si>
  <si>
    <t>Google Search (SEM)</t>
  </si>
  <si>
    <t>Meta (FB/Instagram)</t>
  </si>
  <si>
    <t>Google Display &amp; YouTube</t>
  </si>
  <si>
    <t>CP Broker Network</t>
  </si>
  <si>
    <t>Organic / Walk-in Genie AI</t>
  </si>
  <si>
    <t>n8n Lead Revival (Phoenix)</t>
  </si>
  <si>
    <t>Local OOH / Print</t>
  </si>
  <si>
    <t>Referral Program</t>
  </si>
  <si>
    <t>BLENDED TOTAL</t>
  </si>
  <si>
    <t>Lead-to-Conversion Funnel</t>
  </si>
  <si>
    <t>Funnel Stage</t>
  </si>
  <si>
    <t>Volume</t>
  </si>
  <si>
    <t>Stage Conv %</t>
  </si>
  <si>
    <t>Drop-Off %</t>
  </si>
  <si>
    <t>Cumulative Eff %</t>
  </si>
  <si>
    <t>Digital Impressions</t>
  </si>
  <si>
    <t>--</t>
  </si>
  <si>
    <t>Clicks / Engagement</t>
  </si>
  <si>
    <t>Lead Submissions</t>
  </si>
  <si>
    <t>Qualified Leads (MQL)</t>
  </si>
  <si>
    <t>Site Visits Booked</t>
  </si>
  <si>
    <t>Site Visits Done</t>
  </si>
  <si>
    <t>Booking Intent</t>
  </si>
  <si>
    <t>Confirmed Bookings</t>
  </si>
  <si>
    <t>Scenario &amp; Sensitivity Analysis</t>
  </si>
  <si>
    <t>Bear/Base/Bull/Stress P&amp;L computed via formulas referencing Assumptions</t>
  </si>
  <si>
    <t>Scenario Multipliers (Change these to adjust scenarios)</t>
  </si>
  <si>
    <t>Bear Factor</t>
  </si>
  <si>
    <t>Base Factor</t>
  </si>
  <si>
    <t>Bull Factor</t>
  </si>
  <si>
    <t>Stress Factor</t>
  </si>
  <si>
    <t>ASP Multiplier</t>
  </si>
  <si>
    <t>Velocity Multiplier</t>
  </si>
  <si>
    <t>Construction Cost Mult.</t>
  </si>
  <si>
    <t>Interest Rate Mult.</t>
  </si>
  <si>
    <t>GTM Cost Multiplier</t>
  </si>
  <si>
    <t>Scenario P&amp;L Summary (Cr) -- All Formulas</t>
  </si>
  <si>
    <t>Bear Case</t>
  </si>
  <si>
    <t>Bull Case</t>
  </si>
  <si>
    <t>Stress Case</t>
  </si>
  <si>
    <t>Gross Revenue (GTV)</t>
  </si>
  <si>
    <t>(-) Land Cost</t>
  </si>
  <si>
    <t>(-) Construction Cost</t>
  </si>
  <si>
    <t>(-) GTM &amp; Marketing</t>
  </si>
  <si>
    <t>(-) Statutory &amp; Contingency</t>
  </si>
  <si>
    <t>(-) Debt Interest (est.)</t>
  </si>
  <si>
    <t>DSCR (est.)</t>
  </si>
  <si>
    <t>Gate 1 Status</t>
  </si>
  <si>
    <t>Risk-Adjusted Stage-Gate Mitigation Costing</t>
  </si>
  <si>
    <t>Expected Loss = Probability x Potential Loss (formula). Mitigation budget auto-totals.</t>
  </si>
  <si>
    <t>Risk Category</t>
  </si>
  <si>
    <t>Severity</t>
  </si>
  <si>
    <t>Probability</t>
  </si>
  <si>
    <t>Potential Loss (Cr)</t>
  </si>
  <si>
    <t>Expected Loss (Cr)</t>
  </si>
  <si>
    <t>Mitigation Budget (Lakhs)</t>
  </si>
  <si>
    <t>Mechanism</t>
  </si>
  <si>
    <t>Residual Risk</t>
  </si>
  <si>
    <t>RERA Delays</t>
  </si>
  <si>
    <t>HIGH</t>
  </si>
  <si>
    <t>Gate 2 blocks marketing until RERA active</t>
  </si>
  <si>
    <t>LOW</t>
  </si>
  <si>
    <t>Broker Apathy</t>
  </si>
  <si>
    <t>MEDIUM</t>
  </si>
  <si>
    <t>CP Ranker auto-tiering incentives</t>
  </si>
  <si>
    <t>Weak EOI Corpus</t>
  </si>
  <si>
    <t>Gate 3 mandates 12 Cr tokens</t>
  </si>
  <si>
    <t>CAC Inflation</t>
  </si>
  <si>
    <t>Astra Phoenix lead revival via n8n</t>
  </si>
  <si>
    <t>Absorption Lag</t>
  </si>
  <si>
    <t>Barbell pricing flex (10-90 plans)</t>
  </si>
  <si>
    <t>Cost Overruns</t>
  </si>
  <si>
    <t>Developer contingency buffer</t>
  </si>
  <si>
    <t>Rate Hikes</t>
  </si>
  <si>
    <t>All</t>
  </si>
  <si>
    <t>Velocity acceleration compresses tenure</t>
  </si>
  <si>
    <t>TOTALS</t>
  </si>
  <si>
    <t>Mitigation Budget as % of GTV:</t>
  </si>
  <si>
    <t>Anarock Engagement Fee Structure &amp; Revenue Model</t>
  </si>
  <si>
    <t>All fees computed from Assumptions. Change rates to recalculate Anarock revenue.</t>
  </si>
  <si>
    <t>Fee Component</t>
  </si>
  <si>
    <t>Rate</t>
  </si>
  <si>
    <t>Basis</t>
  </si>
  <si>
    <t>Payment Trigger</t>
  </si>
  <si>
    <t>Brokerage Commission</t>
  </si>
  <si>
    <t>Per unit sale</t>
  </si>
  <si>
    <t>On each sale closure</t>
  </si>
  <si>
    <t>Marketing Management Fee</t>
  </si>
  <si>
    <t>Monthly retainer</t>
  </si>
  <si>
    <t>Monthly during S3-S4</t>
  </si>
  <si>
    <t>SaaS monthly</t>
  </si>
  <si>
    <t>Monthly active mandate</t>
  </si>
  <si>
    <t>CP Mobilization Fee</t>
  </si>
  <si>
    <t>On activation</t>
  </si>
  <si>
    <t>Gate 2 clearance</t>
  </si>
  <si>
    <t>Quarterly if &gt;15 u/mo</t>
  </si>
  <si>
    <t>Quarterly review</t>
  </si>
  <si>
    <t>TOTAL ANAROCK REVENUE</t>
  </si>
  <si>
    <t>as % of GTV</t>
  </si>
  <si>
    <t>as % of Developer Net Profit</t>
  </si>
  <si>
    <t>Anarock Revenue by Phase (Cr)</t>
  </si>
  <si>
    <t>Period</t>
  </si>
  <si>
    <t>% of Total Units</t>
  </si>
  <si>
    <t>Brokerage (Cr)</t>
  </si>
  <si>
    <t>Marketing Fee (Cr)</t>
  </si>
  <si>
    <t>Platform Fee (Cr)</t>
  </si>
  <si>
    <t>Total (Cr)</t>
  </si>
  <si>
    <t>M1-M2 (Discovery)</t>
  </si>
  <si>
    <t>M3-M4 (GTM Prep)</t>
  </si>
  <si>
    <t>M5 (Soft Launch)</t>
  </si>
  <si>
    <t>M6-M12 (Launch)</t>
  </si>
  <si>
    <t>M13-M24 (Sustenance)</t>
  </si>
  <si>
    <t>M25-M36 (Sustenance)</t>
  </si>
  <si>
    <t>M37-M42 (Wrapex)</t>
  </si>
  <si>
    <t>=@Total Area /@ Avg Size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</si>
</sst>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#,##0.0"/>
    <numFmt numFmtId="166" formatCode="#,##0.00&quot;x&quot;"/>
    <numFmt numFmtId="167" formatCode="#,##0.0&quot;x&quot;"/>
    <numFmt numFmtId="168" formatCode="0.000%"/>
  </numFmts>
  <fonts count="15" x14ac:knownFonts="1">
    <font>
      <sz val="11"/>
      <color theme="1"/>
      <name val="Calibri"/>
      <family val="2"/>
      <scheme val="minor"/>
    </font>
    <font>
      <b/>
      <sz val="16"/>
      <color rgb="FFC3002F"/>
      <name val="Calibri"/>
    </font>
    <font>
      <i/>
      <sz val="10"/>
      <color rgb="FF64748B"/>
      <name val="Calibri"/>
    </font>
    <font>
      <b/>
      <sz val="12"/>
      <color rgb="FFC3002F"/>
      <name val="Calibri"/>
    </font>
    <font>
      <b/>
      <sz val="11"/>
      <color rgb="FFFFFFFF"/>
      <name val="Calibri"/>
    </font>
    <font>
      <sz val="10"/>
      <color rgb="FF1E293B"/>
      <name val="Calibri"/>
    </font>
    <font>
      <b/>
      <sz val="10"/>
      <color rgb="FF1E293B"/>
      <name val="Calibri"/>
    </font>
    <font>
      <b/>
      <sz val="10"/>
      <color rgb="FFB8860B"/>
      <name val="Calibri"/>
    </font>
    <font>
      <b/>
      <sz val="11"/>
      <color rgb="FF1E293B"/>
      <name val="Calibri"/>
    </font>
    <font>
      <b/>
      <sz val="13"/>
      <color rgb="FFC3002F"/>
      <name val="Calibri"/>
    </font>
    <font>
      <sz val="9"/>
      <color rgb="FF1E293B"/>
      <name val="Calibri"/>
    </font>
    <font>
      <b/>
      <sz val="12"/>
      <color rgb="FF7C3AED"/>
      <name val="Calibri"/>
    </font>
    <font>
      <b/>
      <sz val="11"/>
      <color rgb="FFDC2626"/>
      <name val="Calibri"/>
    </font>
    <font>
      <b/>
      <sz val="11"/>
      <color rgb="FFD97706"/>
      <name val="Calibri"/>
    </font>
    <font>
      <b/>
      <sz val="11"/>
      <color rgb="FF059669"/>
      <name val="Calibri"/>
    </font>
  </fonts>
  <fills count="17">
    <fill>
      <patternFill patternType="none"/>
    </fill>
    <fill>
      <patternFill patternType="gray125"/>
    </fill>
    <fill>
      <patternFill patternType="solid">
        <fgColor rgb="FFF8F9FA"/>
        <bgColor rgb="FFF8F9FA"/>
      </patternFill>
    </fill>
    <fill>
      <patternFill patternType="solid">
        <fgColor rgb="FFC3002F"/>
        <bgColor rgb="FFC3002F"/>
      </patternFill>
    </fill>
    <fill>
      <patternFill patternType="solid">
        <fgColor rgb="FFFFF8E1"/>
        <bgColor rgb="FFFFF8E1"/>
      </patternFill>
    </fill>
    <fill>
      <patternFill patternType="solid">
        <fgColor rgb="FF059669"/>
        <bgColor rgb="FF059669"/>
      </patternFill>
    </fill>
    <fill>
      <patternFill patternType="solid">
        <fgColor rgb="FFD1FAE5"/>
        <bgColor rgb="FFD1FAE5"/>
      </patternFill>
    </fill>
    <fill>
      <patternFill patternType="solid">
        <fgColor rgb="FFB8860B"/>
        <bgColor rgb="FFB8860B"/>
      </patternFill>
    </fill>
    <fill>
      <patternFill patternType="solid">
        <fgColor rgb="FF0086C3"/>
        <bgColor rgb="FF0086C3"/>
      </patternFill>
    </fill>
    <fill>
      <patternFill patternType="solid">
        <fgColor rgb="FF111522"/>
        <bgColor rgb="FF111522"/>
      </patternFill>
    </fill>
    <fill>
      <patternFill patternType="solid">
        <fgColor rgb="FFE0F7FA"/>
        <bgColor rgb="FFE0F7FA"/>
      </patternFill>
    </fill>
    <fill>
      <patternFill patternType="solid">
        <fgColor rgb="FFD97706"/>
        <bgColor rgb="FFD97706"/>
      </patternFill>
    </fill>
    <fill>
      <patternFill patternType="solid">
        <fgColor rgb="FF7C3AED"/>
        <bgColor rgb="FF7C3AED"/>
      </patternFill>
    </fill>
    <fill>
      <patternFill patternType="solid">
        <fgColor rgb="FFFEE2E2"/>
        <bgColor rgb="FFFEE2E2"/>
      </patternFill>
    </fill>
    <fill>
      <patternFill patternType="solid">
        <fgColor rgb="FFFEF3C7"/>
        <bgColor rgb="FFFEF3C7"/>
      </patternFill>
    </fill>
    <fill>
      <patternFill patternType="solid">
        <fgColor rgb="FFEF4444"/>
        <bgColor rgb="FFEF4444"/>
      </patternFill>
    </fill>
    <fill>
      <patternFill patternType="solid">
        <fgColor rgb="FFFFCCDD"/>
        <bgColor rgb="FFFFCCDD"/>
      </patternFill>
    </fill>
  </fills>
  <borders count="2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4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3" fontId="5" fillId="0" borderId="1" xfId="0" applyNumberFormat="1" applyFont="1" applyBorder="1" applyAlignment="1">
      <alignment horizontal="right" vertical="center" wrapText="1"/>
    </xf>
    <xf numFmtId="0" fontId="7" fillId="4" borderId="1" xfId="0" applyFont="1" applyFill="1" applyBorder="1" applyAlignment="1">
      <alignment horizontal="left" vertical="center" wrapText="1"/>
    </xf>
    <xf numFmtId="0" fontId="7" fillId="4" borderId="0" xfId="0" applyFont="1" applyFill="1"/>
    <xf numFmtId="4" fontId="5" fillId="0" borderId="1" xfId="0" applyNumberFormat="1" applyFont="1" applyBorder="1" applyAlignment="1">
      <alignment horizontal="right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0" fontId="8" fillId="4" borderId="1" xfId="0" applyFont="1" applyFill="1" applyBorder="1" applyAlignment="1">
      <alignment horizontal="left" vertical="center" wrapText="1"/>
    </xf>
    <xf numFmtId="4" fontId="8" fillId="4" borderId="1" xfId="0" applyNumberFormat="1" applyFont="1" applyFill="1" applyBorder="1" applyAlignment="1">
      <alignment horizontal="right" vertical="center" wrapText="1"/>
    </xf>
    <xf numFmtId="0" fontId="5" fillId="0" borderId="1" xfId="0" applyFont="1" applyBorder="1" applyAlignment="1">
      <alignment horizontal="right" vertical="center" wrapText="1"/>
    </xf>
    <xf numFmtId="0" fontId="8" fillId="6" borderId="1" xfId="0" applyFont="1" applyFill="1" applyBorder="1" applyAlignment="1">
      <alignment horizontal="left" vertical="center" wrapText="1"/>
    </xf>
    <xf numFmtId="4" fontId="8" fillId="6" borderId="1" xfId="0" applyNumberFormat="1" applyFont="1" applyFill="1" applyBorder="1" applyAlignment="1">
      <alignment horizontal="right" vertical="center" wrapText="1"/>
    </xf>
    <xf numFmtId="0" fontId="4" fillId="7" borderId="1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right" vertical="center" wrapText="1"/>
    </xf>
    <xf numFmtId="0" fontId="6" fillId="4" borderId="1" xfId="0" applyFont="1" applyFill="1" applyBorder="1" applyAlignment="1">
      <alignment horizontal="left" vertical="center" wrapText="1"/>
    </xf>
    <xf numFmtId="0" fontId="5" fillId="4" borderId="1" xfId="0" applyFont="1" applyFill="1" applyBorder="1" applyAlignment="1">
      <alignment horizontal="left" vertical="center" wrapText="1"/>
    </xf>
    <xf numFmtId="3" fontId="6" fillId="4" borderId="1" xfId="0" applyNumberFormat="1" applyFont="1" applyFill="1" applyBorder="1" applyAlignment="1">
      <alignment horizontal="right" vertical="center" wrapText="1"/>
    </xf>
    <xf numFmtId="4" fontId="6" fillId="4" borderId="1" xfId="0" applyNumberFormat="1" applyFont="1" applyFill="1" applyBorder="1" applyAlignment="1">
      <alignment horizontal="right" vertical="center" wrapText="1"/>
    </xf>
    <xf numFmtId="164" fontId="6" fillId="4" borderId="1" xfId="0" applyNumberFormat="1" applyFont="1" applyFill="1" applyBorder="1" applyAlignment="1">
      <alignment horizontal="right" vertical="center" wrapText="1"/>
    </xf>
    <xf numFmtId="0" fontId="9" fillId="0" borderId="0" xfId="0" applyFont="1"/>
    <xf numFmtId="165" fontId="5" fillId="0" borderId="1" xfId="0" applyNumberFormat="1" applyFont="1" applyBorder="1" applyAlignment="1">
      <alignment horizontal="right" vertical="center" wrapText="1"/>
    </xf>
    <xf numFmtId="0" fontId="4" fillId="8" borderId="1" xfId="0" applyFont="1" applyFill="1" applyBorder="1" applyAlignment="1">
      <alignment horizontal="center" vertical="center" wrapText="1"/>
    </xf>
    <xf numFmtId="164" fontId="8" fillId="4" borderId="1" xfId="0" applyNumberFormat="1" applyFont="1" applyFill="1" applyBorder="1" applyAlignment="1">
      <alignment horizontal="right" vertical="center" wrapText="1"/>
    </xf>
    <xf numFmtId="0" fontId="8" fillId="4" borderId="0" xfId="0" applyFont="1" applyFill="1"/>
    <xf numFmtId="164" fontId="8" fillId="6" borderId="1" xfId="0" applyNumberFormat="1" applyFont="1" applyFill="1" applyBorder="1" applyAlignment="1">
      <alignment horizontal="right" vertical="center" wrapText="1"/>
    </xf>
    <xf numFmtId="0" fontId="8" fillId="6" borderId="0" xfId="0" applyFont="1" applyFill="1"/>
    <xf numFmtId="0" fontId="6" fillId="2" borderId="1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left" vertical="center" wrapText="1"/>
    </xf>
    <xf numFmtId="164" fontId="5" fillId="2" borderId="1" xfId="0" applyNumberFormat="1" applyFont="1" applyFill="1" applyBorder="1" applyAlignment="1">
      <alignment horizontal="right" vertical="center" wrapText="1"/>
    </xf>
    <xf numFmtId="3" fontId="5" fillId="2" borderId="1" xfId="0" applyNumberFormat="1" applyFont="1" applyFill="1" applyBorder="1" applyAlignment="1">
      <alignment horizontal="right" vertical="center" wrapText="1"/>
    </xf>
    <xf numFmtId="165" fontId="5" fillId="2" borderId="1" xfId="0" applyNumberFormat="1" applyFont="1" applyFill="1" applyBorder="1" applyAlignment="1">
      <alignment horizontal="right" vertical="center" wrapText="1"/>
    </xf>
    <xf numFmtId="3" fontId="8" fillId="4" borderId="1" xfId="0" applyNumberFormat="1" applyFont="1" applyFill="1" applyBorder="1" applyAlignment="1">
      <alignment horizontal="right" vertical="center" wrapText="1"/>
    </xf>
    <xf numFmtId="165" fontId="8" fillId="4" borderId="1" xfId="0" applyNumberFormat="1" applyFont="1" applyFill="1" applyBorder="1" applyAlignment="1">
      <alignment horizontal="right" vertical="center" wrapText="1"/>
    </xf>
    <xf numFmtId="0" fontId="4" fillId="9" borderId="1" xfId="0" applyFont="1" applyFill="1" applyBorder="1" applyAlignment="1">
      <alignment horizontal="center" vertical="center" wrapText="1"/>
    </xf>
    <xf numFmtId="0" fontId="6" fillId="0" borderId="1" xfId="0" applyFont="1" applyBorder="1"/>
    <xf numFmtId="164" fontId="5" fillId="0" borderId="1" xfId="0" applyNumberFormat="1" applyFont="1" applyBorder="1" applyAlignment="1">
      <alignment horizontal="center" vertical="center"/>
    </xf>
    <xf numFmtId="164" fontId="8" fillId="10" borderId="1" xfId="0" applyNumberFormat="1" applyFont="1" applyFill="1" applyBorder="1" applyAlignment="1">
      <alignment horizontal="center" vertical="center"/>
    </xf>
    <xf numFmtId="164" fontId="5" fillId="6" borderId="1" xfId="0" applyNumberFormat="1" applyFont="1" applyFill="1" applyBorder="1" applyAlignment="1">
      <alignment horizontal="center" vertical="center"/>
    </xf>
    <xf numFmtId="0" fontId="0" fillId="6" borderId="1" xfId="0" applyFill="1" applyBorder="1"/>
    <xf numFmtId="0" fontId="0" fillId="10" borderId="1" xfId="0" applyFill="1" applyBorder="1"/>
    <xf numFmtId="0" fontId="0" fillId="2" borderId="1" xfId="0" applyFill="1" applyBorder="1"/>
    <xf numFmtId="9" fontId="5" fillId="0" borderId="1" xfId="0" applyNumberFormat="1" applyFont="1" applyBorder="1" applyAlignment="1">
      <alignment horizontal="right" vertical="center" wrapText="1"/>
    </xf>
    <xf numFmtId="166" fontId="5" fillId="0" borderId="1" xfId="0" applyNumberFormat="1" applyFont="1" applyBorder="1" applyAlignment="1">
      <alignment horizontal="right" vertical="center" wrapText="1"/>
    </xf>
    <xf numFmtId="0" fontId="6" fillId="0" borderId="1" xfId="0" applyFont="1" applyBorder="1" applyAlignment="1">
      <alignment horizontal="center" vertical="center"/>
    </xf>
    <xf numFmtId="165" fontId="6" fillId="4" borderId="1" xfId="0" applyNumberFormat="1" applyFont="1" applyFill="1" applyBorder="1" applyAlignment="1">
      <alignment horizontal="right" vertical="center" wrapText="1"/>
    </xf>
    <xf numFmtId="165" fontId="5" fillId="4" borderId="1" xfId="0" applyNumberFormat="1" applyFont="1" applyFill="1" applyBorder="1" applyAlignment="1">
      <alignment horizontal="right" vertical="center" wrapText="1"/>
    </xf>
    <xf numFmtId="164" fontId="5" fillId="4" borderId="1" xfId="0" applyNumberFormat="1" applyFont="1" applyFill="1" applyBorder="1" applyAlignment="1">
      <alignment horizontal="right" vertical="center" wrapText="1"/>
    </xf>
    <xf numFmtId="0" fontId="4" fillId="11" borderId="1" xfId="0" applyFont="1" applyFill="1" applyBorder="1" applyAlignment="1">
      <alignment horizontal="center" vertical="center" wrapText="1"/>
    </xf>
    <xf numFmtId="167" fontId="5" fillId="0" borderId="1" xfId="0" applyNumberFormat="1" applyFont="1" applyBorder="1" applyAlignment="1">
      <alignment horizontal="right" vertical="center" wrapText="1"/>
    </xf>
    <xf numFmtId="167" fontId="6" fillId="4" borderId="1" xfId="0" applyNumberFormat="1" applyFont="1" applyFill="1" applyBorder="1" applyAlignment="1">
      <alignment horizontal="right" vertical="center" wrapText="1"/>
    </xf>
    <xf numFmtId="168" fontId="5" fillId="0" borderId="1" xfId="0" applyNumberFormat="1" applyFont="1" applyBorder="1" applyAlignment="1">
      <alignment horizontal="right" vertical="center" wrapText="1"/>
    </xf>
    <xf numFmtId="0" fontId="4" fillId="12" borderId="1" xfId="0" applyFont="1" applyFill="1" applyBorder="1" applyAlignment="1">
      <alignment horizontal="center" vertical="center" wrapText="1"/>
    </xf>
    <xf numFmtId="2" fontId="5" fillId="13" borderId="1" xfId="0" applyNumberFormat="1" applyFont="1" applyFill="1" applyBorder="1" applyAlignment="1">
      <alignment horizontal="right" vertical="center" wrapText="1"/>
    </xf>
    <xf numFmtId="2" fontId="5" fillId="10" borderId="1" xfId="0" applyNumberFormat="1" applyFont="1" applyFill="1" applyBorder="1" applyAlignment="1">
      <alignment horizontal="right" vertical="center" wrapText="1"/>
    </xf>
    <xf numFmtId="2" fontId="5" fillId="6" borderId="1" xfId="0" applyNumberFormat="1" applyFont="1" applyFill="1" applyBorder="1" applyAlignment="1">
      <alignment horizontal="right" vertical="center" wrapText="1"/>
    </xf>
    <xf numFmtId="2" fontId="5" fillId="14" borderId="1" xfId="0" applyNumberFormat="1" applyFont="1" applyFill="1" applyBorder="1" applyAlignment="1">
      <alignment horizontal="right" vertical="center" wrapText="1"/>
    </xf>
    <xf numFmtId="0" fontId="6" fillId="6" borderId="1" xfId="0" applyFont="1" applyFill="1" applyBorder="1" applyAlignment="1">
      <alignment horizontal="left" vertical="center" wrapText="1"/>
    </xf>
    <xf numFmtId="165" fontId="6" fillId="6" borderId="1" xfId="0" applyNumberFormat="1" applyFont="1" applyFill="1" applyBorder="1" applyAlignment="1">
      <alignment horizontal="right" vertical="center" wrapText="1"/>
    </xf>
    <xf numFmtId="0" fontId="4" fillId="15" borderId="1" xfId="0" applyFont="1" applyFill="1" applyBorder="1" applyAlignment="1">
      <alignment horizontal="center" vertical="center" wrapText="1"/>
    </xf>
    <xf numFmtId="0" fontId="12" fillId="1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3" fillId="14" borderId="1" xfId="0" applyFont="1" applyFill="1" applyBorder="1" applyAlignment="1">
      <alignment horizontal="center" vertical="center"/>
    </xf>
    <xf numFmtId="0" fontId="14" fillId="6" borderId="1" xfId="0" applyFont="1" applyFill="1" applyBorder="1" applyAlignment="1">
      <alignment horizontal="center" vertical="center"/>
    </xf>
    <xf numFmtId="0" fontId="0" fillId="4" borderId="0" xfId="0" applyFill="1"/>
    <xf numFmtId="10" fontId="5" fillId="0" borderId="1" xfId="0" applyNumberFormat="1" applyFont="1" applyBorder="1" applyAlignment="1">
      <alignment horizontal="right" vertical="center" wrapText="1"/>
    </xf>
    <xf numFmtId="0" fontId="8" fillId="16" borderId="1" xfId="0" applyFont="1" applyFill="1" applyBorder="1" applyAlignment="1">
      <alignment horizontal="left" vertical="center" wrapText="1"/>
    </xf>
    <xf numFmtId="0" fontId="8" fillId="16" borderId="0" xfId="0" applyFont="1" applyFill="1"/>
    <xf numFmtId="4" fontId="8" fillId="16" borderId="1" xfId="0" applyNumberFormat="1" applyFont="1" applyFill="1" applyBorder="1" applyAlignment="1">
      <alignment horizontal="right" vertical="center" wrapText="1"/>
    </xf>
    <xf numFmtId="0" fontId="1" fillId="0" borderId="0" xfId="0" applyFont="1" applyAlignment="1">
      <alignment horizontal="left" vertical="center"/>
    </xf>
    <xf numFmtId="0" fontId="0" fillId="0" borderId="0" xfId="0"/>
    <xf numFmtId="0" fontId="3" fillId="2" borderId="0" xfId="0" applyFont="1" applyFill="1"/>
    <xf numFmtId="0" fontId="2" fillId="0" borderId="0" xfId="0" applyFont="1" applyAlignment="1">
      <alignment horizontal="left" vertical="center"/>
    </xf>
    <xf numFmtId="0" fontId="10" fillId="0" borderId="0" xfId="0" applyFont="1"/>
    <xf numFmtId="0" fontId="11" fillId="0" borderId="0" xfId="0" applyFont="1"/>
    <xf numFmtId="0" fontId="5" fillId="0" borderId="1" xfId="0" quotePrefix="1" applyFont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t>Revenue by GTM Stage (Cr)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spPr>
            <a:solidFill>
              <a:srgbClr val="C3002F"/>
            </a:solidFill>
            <a:ln>
              <a:prstDash val="solid"/>
            </a:ln>
          </c:spPr>
          <c:invertIfNegative val="1"/>
          <c:cat>
            <c:strRef>
              <c:f>'Revenue Waterfall'!$A$12:$A$18</c:f>
              <c:strCache>
                <c:ptCount val="7"/>
                <c:pt idx="0">
                  <c:v>S1: Pre-Mandate Discovery</c:v>
                </c:pt>
                <c:pt idx="1">
                  <c:v>S2: GTM &amp; Creative Prep</c:v>
                </c:pt>
                <c:pt idx="2">
                  <c:v>S3: Pre-Launch Soft Bookings</c:v>
                </c:pt>
                <c:pt idx="3">
                  <c:v>S4: Public Launch (M6-M12)</c:v>
                </c:pt>
                <c:pt idx="4">
                  <c:v>S4: Sustenance (M13-M24)</c:v>
                </c:pt>
                <c:pt idx="5">
                  <c:v>S4: Sustenance (M25-M36)</c:v>
                </c:pt>
                <c:pt idx="6">
                  <c:v>S4: Wrapex &amp; Final</c:v>
                </c:pt>
              </c:strCache>
            </c:strRef>
          </c:cat>
          <c:val>
            <c:numRef>
              <c:f>'Revenue Waterfall'!$E$12:$E$18</c:f>
              <c:numCache>
                <c:formatCode>#,##0.0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134.20679999999999</c:v>
                </c:pt>
                <c:pt idx="3">
                  <c:v>241.57224000000002</c:v>
                </c:pt>
                <c:pt idx="4">
                  <c:v>277.36072000000001</c:v>
                </c:pt>
                <c:pt idx="5">
                  <c:v>183.41595999999998</c:v>
                </c:pt>
                <c:pt idx="6">
                  <c:v>58.156280000000002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AE7-4C0D-910F-8F6B6708C6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Cr</a:t>
                </a:r>
              </a:p>
            </c:rich>
          </c:tx>
          <c:overlay val="1"/>
        </c:title>
        <c:numFmt formatCode="#,##0.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t>Cumulative Cash Flow (Cr)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spPr>
            <a:ln w="25000">
              <a:prstDash val="solid"/>
            </a:ln>
          </c:spPr>
          <c:marker>
            <c:symbol val="none"/>
          </c:marker>
          <c:cat>
            <c:strRef>
              <c:f>'Cash Flow Projection'!$A$5:$A$20</c:f>
              <c:strCache>
                <c:ptCount val="16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  <c:pt idx="4">
                  <c:v>Q5</c:v>
                </c:pt>
                <c:pt idx="5">
                  <c:v>Q6</c:v>
                </c:pt>
                <c:pt idx="6">
                  <c:v>Q7</c:v>
                </c:pt>
                <c:pt idx="7">
                  <c:v>Q8</c:v>
                </c:pt>
                <c:pt idx="8">
                  <c:v>Q9</c:v>
                </c:pt>
                <c:pt idx="9">
                  <c:v>Q10</c:v>
                </c:pt>
                <c:pt idx="10">
                  <c:v>Q11</c:v>
                </c:pt>
                <c:pt idx="11">
                  <c:v>Q12</c:v>
                </c:pt>
                <c:pt idx="12">
                  <c:v>Q13</c:v>
                </c:pt>
                <c:pt idx="13">
                  <c:v>Q14</c:v>
                </c:pt>
                <c:pt idx="14">
                  <c:v>Q15</c:v>
                </c:pt>
                <c:pt idx="15">
                  <c:v>Q16</c:v>
                </c:pt>
              </c:strCache>
            </c:strRef>
          </c:cat>
          <c:val>
            <c:numRef>
              <c:f>'Cash Flow Projection'!$J$5:$J$20</c:f>
              <c:numCache>
                <c:formatCode>#,##0.0</c:formatCode>
                <c:ptCount val="16"/>
                <c:pt idx="0">
                  <c:v>-0.8</c:v>
                </c:pt>
                <c:pt idx="1">
                  <c:v>102.31879999999998</c:v>
                </c:pt>
                <c:pt idx="2">
                  <c:v>168.34911999999997</c:v>
                </c:pt>
                <c:pt idx="3">
                  <c:v>279.41503999999998</c:v>
                </c:pt>
                <c:pt idx="4">
                  <c:v>329.25111999999996</c:v>
                </c:pt>
                <c:pt idx="5">
                  <c:v>370.44007999999997</c:v>
                </c:pt>
                <c:pt idx="6">
                  <c:v>407.45547999999997</c:v>
                </c:pt>
                <c:pt idx="7">
                  <c:v>440.19731999999999</c:v>
                </c:pt>
                <c:pt idx="8">
                  <c:v>470.54003999999998</c:v>
                </c:pt>
                <c:pt idx="9">
                  <c:v>496.70919999999995</c:v>
                </c:pt>
                <c:pt idx="10">
                  <c:v>518.60479999999995</c:v>
                </c:pt>
                <c:pt idx="11">
                  <c:v>531.7532799999999</c:v>
                </c:pt>
                <c:pt idx="12">
                  <c:v>544.42419999999993</c:v>
                </c:pt>
                <c:pt idx="13">
                  <c:v>548.34799999999996</c:v>
                </c:pt>
                <c:pt idx="14">
                  <c:v>538.26799999999992</c:v>
                </c:pt>
                <c:pt idx="15">
                  <c:v>532.21999999999991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BE4-4FC8-B8B8-640CBF26D3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Cr</a:t>
                </a:r>
              </a:p>
            </c:rich>
          </c:tx>
          <c:overlay val="1"/>
        </c:title>
        <c:numFmt formatCode="#,##0.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20</xdr:row>
      <xdr:rowOff>0</xdr:rowOff>
    </xdr:from>
    <xdr:ext cx="7920000" cy="46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23</xdr:row>
      <xdr:rowOff>0</xdr:rowOff>
    </xdr:from>
    <xdr:ext cx="864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3002F"/>
  </sheetPr>
  <dimension ref="A1:J98"/>
  <sheetViews>
    <sheetView tabSelected="1" topLeftCell="A5" workbookViewId="0">
      <selection activeCell="D13" sqref="D13"/>
    </sheetView>
  </sheetViews>
  <sheetFormatPr defaultRowHeight="14.25" x14ac:dyDescent="0.45"/>
  <cols>
    <col min="1" max="1" width="42" customWidth="1"/>
    <col min="2" max="2" width="17" customWidth="1"/>
    <col min="3" max="3" width="13" customWidth="1"/>
    <col min="4" max="4" width="42" customWidth="1"/>
    <col min="5" max="10" width="13" customWidth="1"/>
  </cols>
  <sheetData>
    <row r="1" spans="1:10" ht="30" customHeight="1" x14ac:dyDescent="0.45">
      <c r="A1" s="70" t="s">
        <v>0</v>
      </c>
      <c r="B1" s="71"/>
      <c r="C1" s="71"/>
      <c r="D1" s="71"/>
      <c r="E1" s="71"/>
      <c r="F1" s="71"/>
      <c r="G1" s="71"/>
      <c r="H1" s="71"/>
      <c r="I1" s="71"/>
      <c r="J1" s="71"/>
    </row>
    <row r="2" spans="1:10" x14ac:dyDescent="0.45">
      <c r="A2" s="73" t="s">
        <v>1</v>
      </c>
      <c r="B2" s="71"/>
      <c r="C2" s="71"/>
      <c r="D2" s="71"/>
      <c r="E2" s="71"/>
      <c r="F2" s="71"/>
      <c r="G2" s="71"/>
      <c r="H2" s="71"/>
      <c r="I2" s="71"/>
      <c r="J2" s="71"/>
    </row>
    <row r="4" spans="1:10" ht="15.75" x14ac:dyDescent="0.5">
      <c r="A4" s="72" t="s">
        <v>2</v>
      </c>
      <c r="B4" s="71"/>
      <c r="C4" s="71"/>
      <c r="D4" s="71"/>
    </row>
    <row r="5" spans="1:10" ht="28.05" customHeight="1" x14ac:dyDescent="0.45">
      <c r="A5" s="1" t="s">
        <v>3</v>
      </c>
      <c r="B5" s="1" t="s">
        <v>4</v>
      </c>
      <c r="C5" s="1" t="s">
        <v>5</v>
      </c>
      <c r="D5" s="1" t="s">
        <v>6</v>
      </c>
    </row>
    <row r="6" spans="1:10" x14ac:dyDescent="0.45">
      <c r="A6" s="2" t="s">
        <v>7</v>
      </c>
      <c r="B6" s="3">
        <v>800000</v>
      </c>
      <c r="C6" s="2" t="s">
        <v>8</v>
      </c>
      <c r="D6" s="2" t="s">
        <v>9</v>
      </c>
    </row>
    <row r="7" spans="1:10" x14ac:dyDescent="0.45">
      <c r="A7" s="2" t="s">
        <v>10</v>
      </c>
      <c r="B7" s="3">
        <v>1476</v>
      </c>
      <c r="C7" s="2" t="s">
        <v>8</v>
      </c>
      <c r="D7" s="2" t="s">
        <v>11</v>
      </c>
    </row>
    <row r="8" spans="1:10" x14ac:dyDescent="0.45">
      <c r="A8" s="2" t="s">
        <v>12</v>
      </c>
      <c r="B8" s="3">
        <f>ROUND($B$6/$B$7,0)</f>
        <v>542</v>
      </c>
      <c r="C8" s="2" t="s">
        <v>13</v>
      </c>
      <c r="D8" s="76" t="s">
        <v>492</v>
      </c>
    </row>
    <row r="9" spans="1:10" x14ac:dyDescent="0.45">
      <c r="A9" s="2"/>
      <c r="C9" s="2"/>
      <c r="D9" s="2"/>
    </row>
    <row r="10" spans="1:10" x14ac:dyDescent="0.45">
      <c r="A10" s="4" t="s">
        <v>14</v>
      </c>
      <c r="B10" s="5"/>
      <c r="C10" s="4"/>
      <c r="D10" s="4"/>
    </row>
    <row r="11" spans="1:10" x14ac:dyDescent="0.45">
      <c r="A11" s="2" t="s">
        <v>15</v>
      </c>
      <c r="B11" s="3">
        <v>220</v>
      </c>
      <c r="C11" s="2" t="s">
        <v>13</v>
      </c>
      <c r="D11" s="2" t="s">
        <v>16</v>
      </c>
    </row>
    <row r="12" spans="1:10" x14ac:dyDescent="0.45">
      <c r="A12" s="2" t="s">
        <v>17</v>
      </c>
      <c r="B12" s="3">
        <v>1050</v>
      </c>
      <c r="C12" s="2" t="s">
        <v>8</v>
      </c>
      <c r="D12" s="2" t="s">
        <v>18</v>
      </c>
    </row>
    <row r="13" spans="1:10" x14ac:dyDescent="0.45">
      <c r="A13" s="2" t="s">
        <v>19</v>
      </c>
      <c r="B13" s="3">
        <v>8500</v>
      </c>
      <c r="C13" s="2" t="s">
        <v>20</v>
      </c>
      <c r="D13" s="2" t="s">
        <v>21</v>
      </c>
    </row>
    <row r="14" spans="1:10" x14ac:dyDescent="0.45">
      <c r="A14" s="2" t="s">
        <v>22</v>
      </c>
      <c r="B14" s="3">
        <v>9200</v>
      </c>
      <c r="C14" s="2" t="s">
        <v>20</v>
      </c>
      <c r="D14" s="2" t="s">
        <v>23</v>
      </c>
    </row>
    <row r="15" spans="1:10" x14ac:dyDescent="0.45">
      <c r="A15" s="2"/>
      <c r="C15" s="2"/>
      <c r="D15" s="2"/>
    </row>
    <row r="16" spans="1:10" x14ac:dyDescent="0.45">
      <c r="A16" s="4" t="s">
        <v>24</v>
      </c>
      <c r="B16" s="5"/>
      <c r="C16" s="4"/>
      <c r="D16" s="4"/>
    </row>
    <row r="17" spans="1:4" x14ac:dyDescent="0.45">
      <c r="A17" s="2" t="s">
        <v>25</v>
      </c>
      <c r="B17" s="3">
        <v>280</v>
      </c>
      <c r="C17" s="2" t="s">
        <v>13</v>
      </c>
      <c r="D17" s="2" t="s">
        <v>26</v>
      </c>
    </row>
    <row r="18" spans="1:4" x14ac:dyDescent="0.45">
      <c r="A18" s="2" t="s">
        <v>27</v>
      </c>
      <c r="B18" s="3">
        <v>1600</v>
      </c>
      <c r="C18" s="2" t="s">
        <v>8</v>
      </c>
      <c r="D18" s="2" t="s">
        <v>18</v>
      </c>
    </row>
    <row r="19" spans="1:4" x14ac:dyDescent="0.45">
      <c r="A19" s="2" t="s">
        <v>28</v>
      </c>
      <c r="B19" s="3">
        <v>10800</v>
      </c>
      <c r="C19" s="2" t="s">
        <v>20</v>
      </c>
      <c r="D19" s="2" t="s">
        <v>21</v>
      </c>
    </row>
    <row r="20" spans="1:4" x14ac:dyDescent="0.45">
      <c r="A20" s="2" t="s">
        <v>29</v>
      </c>
      <c r="B20" s="3">
        <v>11500</v>
      </c>
      <c r="C20" s="2" t="s">
        <v>20</v>
      </c>
      <c r="D20" s="2" t="s">
        <v>23</v>
      </c>
    </row>
    <row r="21" spans="1:4" x14ac:dyDescent="0.45">
      <c r="A21" s="2"/>
      <c r="C21" s="2"/>
      <c r="D21" s="2"/>
    </row>
    <row r="22" spans="1:4" x14ac:dyDescent="0.45">
      <c r="A22" s="4" t="s">
        <v>30</v>
      </c>
      <c r="B22" s="5"/>
      <c r="C22" s="4"/>
      <c r="D22" s="4"/>
    </row>
    <row r="23" spans="1:4" x14ac:dyDescent="0.45">
      <c r="A23" s="2" t="s">
        <v>31</v>
      </c>
      <c r="B23" s="3">
        <v>42</v>
      </c>
      <c r="C23" s="2" t="s">
        <v>13</v>
      </c>
      <c r="D23" s="2" t="s">
        <v>32</v>
      </c>
    </row>
    <row r="24" spans="1:4" x14ac:dyDescent="0.45">
      <c r="A24" s="2" t="s">
        <v>33</v>
      </c>
      <c r="B24" s="3">
        <v>2800</v>
      </c>
      <c r="C24" s="2" t="s">
        <v>8</v>
      </c>
      <c r="D24" s="2" t="s">
        <v>18</v>
      </c>
    </row>
    <row r="25" spans="1:4" x14ac:dyDescent="0.45">
      <c r="A25" s="2" t="s">
        <v>34</v>
      </c>
      <c r="B25" s="3">
        <v>12500</v>
      </c>
      <c r="C25" s="2" t="s">
        <v>20</v>
      </c>
      <c r="D25" s="2" t="s">
        <v>21</v>
      </c>
    </row>
    <row r="26" spans="1:4" x14ac:dyDescent="0.45">
      <c r="A26" s="2" t="s">
        <v>35</v>
      </c>
      <c r="B26" s="3">
        <v>14200</v>
      </c>
      <c r="C26" s="2" t="s">
        <v>20</v>
      </c>
      <c r="D26" s="2" t="s">
        <v>23</v>
      </c>
    </row>
    <row r="27" spans="1:4" x14ac:dyDescent="0.45">
      <c r="A27" s="2"/>
      <c r="C27" s="2"/>
      <c r="D27" s="2"/>
    </row>
    <row r="28" spans="1:4" x14ac:dyDescent="0.45">
      <c r="A28" s="4" t="s">
        <v>36</v>
      </c>
      <c r="B28" s="5"/>
      <c r="C28" s="4"/>
      <c r="D28" s="4"/>
    </row>
    <row r="29" spans="1:4" x14ac:dyDescent="0.45">
      <c r="A29" s="2" t="s">
        <v>37</v>
      </c>
      <c r="B29" s="3">
        <v>3100</v>
      </c>
      <c r="C29" s="2" t="s">
        <v>20</v>
      </c>
      <c r="D29" s="2" t="s">
        <v>38</v>
      </c>
    </row>
    <row r="30" spans="1:4" x14ac:dyDescent="0.45">
      <c r="A30" s="2" t="s">
        <v>39</v>
      </c>
      <c r="B30" s="3">
        <v>4200</v>
      </c>
      <c r="C30" s="2" t="s">
        <v>20</v>
      </c>
      <c r="D30" s="2" t="s">
        <v>40</v>
      </c>
    </row>
    <row r="31" spans="1:4" x14ac:dyDescent="0.45">
      <c r="A31" s="2" t="s">
        <v>41</v>
      </c>
      <c r="B31" s="6">
        <v>8</v>
      </c>
      <c r="C31" s="2" t="s">
        <v>42</v>
      </c>
      <c r="D31" s="2" t="s">
        <v>43</v>
      </c>
    </row>
    <row r="32" spans="1:4" x14ac:dyDescent="0.45">
      <c r="A32" s="2" t="s">
        <v>44</v>
      </c>
      <c r="B32" s="6">
        <v>2</v>
      </c>
      <c r="C32" s="2" t="s">
        <v>45</v>
      </c>
      <c r="D32" s="2" t="s">
        <v>46</v>
      </c>
    </row>
    <row r="33" spans="1:4" x14ac:dyDescent="0.45">
      <c r="A33" s="2"/>
      <c r="C33" s="2"/>
      <c r="D33" s="2"/>
    </row>
    <row r="34" spans="1:4" x14ac:dyDescent="0.45">
      <c r="A34" s="4" t="s">
        <v>47</v>
      </c>
      <c r="B34" s="5"/>
      <c r="C34" s="4"/>
      <c r="D34" s="4"/>
    </row>
    <row r="35" spans="1:4" x14ac:dyDescent="0.45">
      <c r="A35" s="2" t="s">
        <v>48</v>
      </c>
      <c r="B35" s="3">
        <v>65</v>
      </c>
      <c r="C35" s="2" t="s">
        <v>45</v>
      </c>
      <c r="D35" s="2" t="s">
        <v>49</v>
      </c>
    </row>
    <row r="36" spans="1:4" x14ac:dyDescent="0.45">
      <c r="A36" s="2" t="s">
        <v>50</v>
      </c>
      <c r="B36" s="6">
        <v>9.5</v>
      </c>
      <c r="C36" s="2" t="s">
        <v>45</v>
      </c>
      <c r="D36" s="2" t="s">
        <v>51</v>
      </c>
    </row>
    <row r="37" spans="1:4" x14ac:dyDescent="0.45">
      <c r="A37" s="2" t="s">
        <v>52</v>
      </c>
      <c r="B37" s="3">
        <v>36</v>
      </c>
      <c r="C37" s="2" t="s">
        <v>53</v>
      </c>
      <c r="D37" s="2" t="s">
        <v>54</v>
      </c>
    </row>
    <row r="38" spans="1:4" x14ac:dyDescent="0.45">
      <c r="A38" s="2"/>
      <c r="C38" s="2"/>
      <c r="D38" s="2"/>
    </row>
    <row r="39" spans="1:4" x14ac:dyDescent="0.45">
      <c r="A39" s="4" t="s">
        <v>55</v>
      </c>
      <c r="B39" s="5"/>
      <c r="C39" s="4"/>
      <c r="D39" s="4"/>
    </row>
    <row r="40" spans="1:4" x14ac:dyDescent="0.45">
      <c r="A40" s="2" t="s">
        <v>56</v>
      </c>
      <c r="B40" s="6">
        <v>1.5</v>
      </c>
      <c r="C40" s="2" t="s">
        <v>45</v>
      </c>
      <c r="D40" s="2" t="s">
        <v>57</v>
      </c>
    </row>
    <row r="41" spans="1:4" x14ac:dyDescent="0.45">
      <c r="A41" s="2" t="s">
        <v>58</v>
      </c>
      <c r="B41" s="6">
        <v>0.8</v>
      </c>
      <c r="C41" s="2" t="s">
        <v>45</v>
      </c>
      <c r="D41" s="2" t="s">
        <v>59</v>
      </c>
    </row>
    <row r="42" spans="1:4" x14ac:dyDescent="0.45">
      <c r="A42" s="2" t="s">
        <v>60</v>
      </c>
      <c r="B42" s="6">
        <v>3</v>
      </c>
      <c r="C42" s="2" t="s">
        <v>61</v>
      </c>
      <c r="D42" s="2" t="s">
        <v>62</v>
      </c>
    </row>
    <row r="43" spans="1:4" x14ac:dyDescent="0.45">
      <c r="A43" s="2" t="s">
        <v>63</v>
      </c>
      <c r="B43" s="6">
        <v>25</v>
      </c>
      <c r="C43" s="2" t="s">
        <v>64</v>
      </c>
      <c r="D43" s="2" t="s">
        <v>65</v>
      </c>
    </row>
    <row r="44" spans="1:4" x14ac:dyDescent="0.45">
      <c r="A44" s="2" t="s">
        <v>66</v>
      </c>
      <c r="B44" s="6">
        <v>0.25</v>
      </c>
      <c r="C44" s="2" t="s">
        <v>45</v>
      </c>
      <c r="D44" s="2" t="s">
        <v>67</v>
      </c>
    </row>
    <row r="45" spans="1:4" x14ac:dyDescent="0.45">
      <c r="A45" s="2"/>
      <c r="C45" s="2"/>
      <c r="D45" s="2"/>
    </row>
    <row r="46" spans="1:4" x14ac:dyDescent="0.45">
      <c r="A46" s="4" t="s">
        <v>68</v>
      </c>
      <c r="B46" s="5"/>
      <c r="C46" s="4"/>
      <c r="D46" s="4"/>
    </row>
    <row r="47" spans="1:4" x14ac:dyDescent="0.45">
      <c r="A47" s="2" t="s">
        <v>69</v>
      </c>
      <c r="B47" s="3">
        <v>12</v>
      </c>
      <c r="C47" s="2" t="s">
        <v>70</v>
      </c>
      <c r="D47" s="2" t="s">
        <v>71</v>
      </c>
    </row>
    <row r="48" spans="1:4" x14ac:dyDescent="0.45">
      <c r="A48" s="2" t="s">
        <v>72</v>
      </c>
      <c r="B48" s="6">
        <v>15</v>
      </c>
      <c r="C48" s="2" t="s">
        <v>45</v>
      </c>
      <c r="D48" s="2" t="s">
        <v>73</v>
      </c>
    </row>
    <row r="49" spans="1:4" x14ac:dyDescent="0.45">
      <c r="A49" s="2"/>
      <c r="C49" s="2"/>
      <c r="D49" s="2"/>
    </row>
    <row r="50" spans="1:4" x14ac:dyDescent="0.45">
      <c r="A50" s="4" t="s">
        <v>74</v>
      </c>
      <c r="B50" s="5"/>
      <c r="C50" s="4"/>
      <c r="D50" s="4"/>
    </row>
    <row r="51" spans="1:4" x14ac:dyDescent="0.45">
      <c r="A51" s="2" t="s">
        <v>75</v>
      </c>
      <c r="B51" s="6">
        <v>20</v>
      </c>
      <c r="C51" s="2" t="s">
        <v>45</v>
      </c>
      <c r="D51" s="2" t="s">
        <v>76</v>
      </c>
    </row>
    <row r="52" spans="1:4" x14ac:dyDescent="0.45">
      <c r="A52" s="2" t="s">
        <v>77</v>
      </c>
      <c r="B52" s="3">
        <v>18</v>
      </c>
      <c r="C52" s="2" t="s">
        <v>53</v>
      </c>
      <c r="D52" s="2" t="s">
        <v>78</v>
      </c>
    </row>
    <row r="53" spans="1:4" x14ac:dyDescent="0.45">
      <c r="A53" s="2" t="s">
        <v>79</v>
      </c>
      <c r="B53" s="3">
        <v>150</v>
      </c>
      <c r="C53" s="2" t="s">
        <v>80</v>
      </c>
      <c r="D53" s="2" t="s">
        <v>81</v>
      </c>
    </row>
    <row r="54" spans="1:4" x14ac:dyDescent="0.45">
      <c r="A54" s="2" t="s">
        <v>82</v>
      </c>
      <c r="B54" s="6">
        <v>12</v>
      </c>
      <c r="C54" s="2" t="s">
        <v>42</v>
      </c>
      <c r="D54" s="2" t="s">
        <v>83</v>
      </c>
    </row>
    <row r="55" spans="1:4" x14ac:dyDescent="0.45">
      <c r="A55" s="2" t="s">
        <v>84</v>
      </c>
      <c r="B55" s="6">
        <v>85</v>
      </c>
      <c r="C55" s="2" t="s">
        <v>45</v>
      </c>
      <c r="D55" s="2" t="s">
        <v>85</v>
      </c>
    </row>
    <row r="56" spans="1:4" x14ac:dyDescent="0.45">
      <c r="A56" s="2" t="s">
        <v>86</v>
      </c>
      <c r="B56" s="6">
        <v>2.5</v>
      </c>
      <c r="C56" s="2" t="s">
        <v>45</v>
      </c>
      <c r="D56" s="2" t="s">
        <v>87</v>
      </c>
    </row>
    <row r="57" spans="1:4" x14ac:dyDescent="0.45">
      <c r="A57" s="2" t="s">
        <v>88</v>
      </c>
      <c r="B57" s="6">
        <v>10</v>
      </c>
      <c r="C57" s="2" t="s">
        <v>45</v>
      </c>
      <c r="D57" s="2" t="s">
        <v>89</v>
      </c>
    </row>
    <row r="58" spans="1:4" x14ac:dyDescent="0.45">
      <c r="A58" s="2"/>
      <c r="C58" s="2"/>
      <c r="D58" s="2"/>
    </row>
    <row r="59" spans="1:4" x14ac:dyDescent="0.45">
      <c r="A59" s="4" t="s">
        <v>90</v>
      </c>
      <c r="B59" s="5"/>
      <c r="C59" s="4"/>
      <c r="D59" s="4"/>
    </row>
    <row r="60" spans="1:4" x14ac:dyDescent="0.45">
      <c r="A60" s="2" t="s">
        <v>91</v>
      </c>
      <c r="B60" s="3">
        <v>2</v>
      </c>
      <c r="C60" s="2" t="s">
        <v>53</v>
      </c>
      <c r="D60" s="2" t="s">
        <v>92</v>
      </c>
    </row>
    <row r="61" spans="1:4" x14ac:dyDescent="0.45">
      <c r="A61" s="2" t="s">
        <v>93</v>
      </c>
      <c r="B61" s="3">
        <v>2</v>
      </c>
      <c r="C61" s="2" t="s">
        <v>53</v>
      </c>
      <c r="D61" s="2" t="s">
        <v>94</v>
      </c>
    </row>
    <row r="62" spans="1:4" x14ac:dyDescent="0.45">
      <c r="A62" s="2" t="s">
        <v>95</v>
      </c>
      <c r="B62" s="3">
        <v>1</v>
      </c>
      <c r="C62" s="2" t="s">
        <v>53</v>
      </c>
      <c r="D62" s="2" t="s">
        <v>96</v>
      </c>
    </row>
    <row r="63" spans="1:4" x14ac:dyDescent="0.45">
      <c r="A63" s="2" t="s">
        <v>97</v>
      </c>
      <c r="B63" s="3">
        <v>7</v>
      </c>
      <c r="C63" s="2" t="s">
        <v>53</v>
      </c>
      <c r="D63" s="2" t="s">
        <v>98</v>
      </c>
    </row>
    <row r="64" spans="1:4" x14ac:dyDescent="0.45">
      <c r="A64" s="2" t="s">
        <v>99</v>
      </c>
      <c r="B64" s="3">
        <v>24</v>
      </c>
      <c r="C64" s="2" t="s">
        <v>53</v>
      </c>
      <c r="D64" s="2" t="s">
        <v>100</v>
      </c>
    </row>
    <row r="65" spans="1:4" x14ac:dyDescent="0.45">
      <c r="A65" s="2" t="s">
        <v>101</v>
      </c>
      <c r="B65" s="3">
        <v>6</v>
      </c>
      <c r="C65" s="2" t="s">
        <v>53</v>
      </c>
      <c r="D65" s="2" t="s">
        <v>102</v>
      </c>
    </row>
    <row r="66" spans="1:4" x14ac:dyDescent="0.45">
      <c r="A66" s="2" t="s">
        <v>103</v>
      </c>
      <c r="B66" s="3">
        <v>6</v>
      </c>
      <c r="C66" s="2" t="s">
        <v>53</v>
      </c>
      <c r="D66" s="2" t="s">
        <v>104</v>
      </c>
    </row>
    <row r="68" spans="1:4" ht="15.75" x14ac:dyDescent="0.5">
      <c r="A68" s="72" t="s">
        <v>105</v>
      </c>
      <c r="B68" s="71"/>
      <c r="C68" s="71"/>
      <c r="D68" s="71"/>
    </row>
    <row r="69" spans="1:4" ht="28.05" customHeight="1" x14ac:dyDescent="0.45">
      <c r="A69" s="7" t="s">
        <v>106</v>
      </c>
      <c r="B69" s="7" t="s">
        <v>107</v>
      </c>
      <c r="C69" s="7" t="s">
        <v>5</v>
      </c>
      <c r="D69" s="7" t="s">
        <v>108</v>
      </c>
    </row>
    <row r="70" spans="1:4" x14ac:dyDescent="0.45">
      <c r="A70" s="8" t="s">
        <v>109</v>
      </c>
      <c r="B70" s="6">
        <f>$B$11*$B$12*$B$14/10000000</f>
        <v>212.52</v>
      </c>
      <c r="C70" s="2" t="s">
        <v>42</v>
      </c>
      <c r="D70" s="2" t="s">
        <v>110</v>
      </c>
    </row>
    <row r="71" spans="1:4" x14ac:dyDescent="0.45">
      <c r="A71" s="8" t="s">
        <v>111</v>
      </c>
      <c r="B71" s="6">
        <f>$B$17*$B$18*$B$20/10000000</f>
        <v>515.20000000000005</v>
      </c>
      <c r="C71" s="2" t="s">
        <v>42</v>
      </c>
      <c r="D71" s="2" t="s">
        <v>112</v>
      </c>
    </row>
    <row r="72" spans="1:4" x14ac:dyDescent="0.45">
      <c r="A72" s="8" t="s">
        <v>113</v>
      </c>
      <c r="B72" s="6">
        <f>$B$23*$B$24*$B$26/10000000</f>
        <v>166.99199999999999</v>
      </c>
      <c r="C72" s="2" t="s">
        <v>42</v>
      </c>
      <c r="D72" s="2" t="s">
        <v>114</v>
      </c>
    </row>
    <row r="73" spans="1:4" x14ac:dyDescent="0.45">
      <c r="A73" s="9" t="s">
        <v>115</v>
      </c>
      <c r="B73" s="10">
        <f>$B$70+$B$71+$B$72</f>
        <v>894.71199999999999</v>
      </c>
      <c r="C73" s="9" t="s">
        <v>42</v>
      </c>
      <c r="D73" s="9" t="s">
        <v>116</v>
      </c>
    </row>
    <row r="74" spans="1:4" x14ac:dyDescent="0.45">
      <c r="A74" s="8" t="s">
        <v>117</v>
      </c>
      <c r="B74" s="6">
        <f>$B$11+$B$17+$B$23</f>
        <v>542</v>
      </c>
      <c r="C74" s="2" t="s">
        <v>13</v>
      </c>
      <c r="D74" s="2" t="s">
        <v>118</v>
      </c>
    </row>
    <row r="75" spans="1:4" x14ac:dyDescent="0.45">
      <c r="A75" s="8" t="s">
        <v>119</v>
      </c>
      <c r="B75" s="6">
        <f>$B$73*10000000/$B$6</f>
        <v>11183.9</v>
      </c>
      <c r="C75" s="2" t="s">
        <v>20</v>
      </c>
      <c r="D75" s="2" t="s">
        <v>120</v>
      </c>
    </row>
    <row r="76" spans="1:4" x14ac:dyDescent="0.45">
      <c r="A76" s="8" t="s">
        <v>121</v>
      </c>
      <c r="B76" s="6">
        <f>$B$73/$B$74</f>
        <v>1.6507601476014759</v>
      </c>
      <c r="C76" s="2" t="s">
        <v>42</v>
      </c>
      <c r="D76" s="2" t="s">
        <v>122</v>
      </c>
    </row>
    <row r="77" spans="1:4" x14ac:dyDescent="0.45">
      <c r="A77" s="2"/>
      <c r="B77" s="11"/>
      <c r="C77" s="2"/>
      <c r="D77" s="2"/>
    </row>
    <row r="78" spans="1:4" x14ac:dyDescent="0.45">
      <c r="A78" s="8" t="s">
        <v>123</v>
      </c>
      <c r="B78" s="6">
        <f>$B$6*$B$29/10000000</f>
        <v>248</v>
      </c>
      <c r="C78" s="2" t="s">
        <v>42</v>
      </c>
      <c r="D78" s="2" t="s">
        <v>124</v>
      </c>
    </row>
    <row r="79" spans="1:4" x14ac:dyDescent="0.45">
      <c r="A79" s="8" t="s">
        <v>125</v>
      </c>
      <c r="B79" s="6">
        <f>$B$6*$B$30/10000000</f>
        <v>336</v>
      </c>
      <c r="C79" s="2" t="s">
        <v>42</v>
      </c>
      <c r="D79" s="2" t="s">
        <v>126</v>
      </c>
    </row>
    <row r="80" spans="1:4" x14ac:dyDescent="0.45">
      <c r="A80" s="9" t="s">
        <v>127</v>
      </c>
      <c r="B80" s="10">
        <f>$B$78+$B$79</f>
        <v>584</v>
      </c>
      <c r="C80" s="9" t="s">
        <v>42</v>
      </c>
      <c r="D80" s="9" t="s">
        <v>128</v>
      </c>
    </row>
    <row r="81" spans="1:4" x14ac:dyDescent="0.45">
      <c r="A81" s="8" t="s">
        <v>129</v>
      </c>
      <c r="B81" s="6">
        <f>$B$80*$B$32/100</f>
        <v>11.68</v>
      </c>
      <c r="C81" s="2" t="s">
        <v>42</v>
      </c>
      <c r="D81" s="2" t="s">
        <v>130</v>
      </c>
    </row>
    <row r="82" spans="1:4" x14ac:dyDescent="0.45">
      <c r="A82" s="2"/>
      <c r="B82" s="11"/>
      <c r="C82" s="2"/>
      <c r="D82" s="2"/>
    </row>
    <row r="83" spans="1:4" x14ac:dyDescent="0.45">
      <c r="A83" s="8" t="s">
        <v>131</v>
      </c>
      <c r="B83" s="6">
        <f>$B$73*$B$40/100</f>
        <v>13.420679999999999</v>
      </c>
      <c r="C83" s="2" t="s">
        <v>42</v>
      </c>
      <c r="D83" s="2" t="s">
        <v>132</v>
      </c>
    </row>
    <row r="84" spans="1:4" x14ac:dyDescent="0.45">
      <c r="A84" s="8" t="s">
        <v>133</v>
      </c>
      <c r="B84" s="6">
        <f>$B$73*$B$41/100</f>
        <v>7.1576960000000005</v>
      </c>
      <c r="C84" s="2" t="s">
        <v>42</v>
      </c>
      <c r="D84" s="2" t="s">
        <v>134</v>
      </c>
    </row>
    <row r="85" spans="1:4" x14ac:dyDescent="0.45">
      <c r="A85" s="8" t="s">
        <v>135</v>
      </c>
      <c r="B85" s="6">
        <f>$B$42*42/100</f>
        <v>1.26</v>
      </c>
      <c r="C85" s="2" t="s">
        <v>42</v>
      </c>
      <c r="D85" s="2" t="s">
        <v>136</v>
      </c>
    </row>
    <row r="86" spans="1:4" x14ac:dyDescent="0.45">
      <c r="A86" s="8" t="s">
        <v>137</v>
      </c>
      <c r="B86" s="6">
        <f>$B$43/100</f>
        <v>0.25</v>
      </c>
      <c r="C86" s="2" t="s">
        <v>42</v>
      </c>
      <c r="D86" s="2" t="s">
        <v>138</v>
      </c>
    </row>
    <row r="87" spans="1:4" x14ac:dyDescent="0.45">
      <c r="A87" s="8" t="s">
        <v>139</v>
      </c>
      <c r="B87" s="6">
        <f>$B$73*$B$44/100</f>
        <v>2.23678</v>
      </c>
      <c r="C87" s="2" t="s">
        <v>42</v>
      </c>
      <c r="D87" s="2" t="s">
        <v>140</v>
      </c>
    </row>
    <row r="88" spans="1:4" x14ac:dyDescent="0.45">
      <c r="A88" s="9" t="s">
        <v>141</v>
      </c>
      <c r="B88" s="10">
        <f>$B$83+$B$84+$B$85+$B$86+$B$87</f>
        <v>24.325156</v>
      </c>
      <c r="C88" s="9" t="s">
        <v>42</v>
      </c>
      <c r="D88" s="9" t="s">
        <v>142</v>
      </c>
    </row>
    <row r="89" spans="1:4" x14ac:dyDescent="0.45">
      <c r="A89" s="8" t="s">
        <v>143</v>
      </c>
      <c r="B89" s="6">
        <f>$B$88/$B$73*100</f>
        <v>2.7187693917148756</v>
      </c>
      <c r="C89" s="2" t="s">
        <v>45</v>
      </c>
      <c r="D89" s="2" t="s">
        <v>144</v>
      </c>
    </row>
    <row r="90" spans="1:4" x14ac:dyDescent="0.45">
      <c r="A90" s="2"/>
      <c r="B90" s="11"/>
      <c r="C90" s="2"/>
      <c r="D90" s="2"/>
    </row>
    <row r="91" spans="1:4" x14ac:dyDescent="0.45">
      <c r="A91" s="9" t="s">
        <v>145</v>
      </c>
      <c r="B91" s="10">
        <f>$B$80+$B$31+$B$81+$B$88</f>
        <v>628.00515599999994</v>
      </c>
      <c r="C91" s="9" t="s">
        <v>42</v>
      </c>
      <c r="D91" s="9" t="s">
        <v>146</v>
      </c>
    </row>
    <row r="92" spans="1:4" x14ac:dyDescent="0.45">
      <c r="A92" s="12" t="s">
        <v>147</v>
      </c>
      <c r="B92" s="13">
        <f>$B$73-$B$91</f>
        <v>266.70684400000005</v>
      </c>
      <c r="C92" s="12" t="s">
        <v>42</v>
      </c>
      <c r="D92" s="12" t="s">
        <v>148</v>
      </c>
    </row>
    <row r="93" spans="1:4" x14ac:dyDescent="0.45">
      <c r="A93" s="12" t="s">
        <v>149</v>
      </c>
      <c r="B93" s="13">
        <f>$B$92/$B$73*100</f>
        <v>29.80923962124125</v>
      </c>
      <c r="C93" s="12" t="s">
        <v>45</v>
      </c>
      <c r="D93" s="12" t="s">
        <v>150</v>
      </c>
    </row>
    <row r="94" spans="1:4" x14ac:dyDescent="0.45">
      <c r="A94" s="2"/>
      <c r="B94" s="11"/>
      <c r="C94" s="2"/>
      <c r="D94" s="2"/>
    </row>
    <row r="95" spans="1:4" x14ac:dyDescent="0.45">
      <c r="A95" s="8" t="s">
        <v>151</v>
      </c>
      <c r="B95" s="6">
        <f>$B$73*$B$35/100</f>
        <v>581.56280000000004</v>
      </c>
      <c r="C95" s="2" t="s">
        <v>42</v>
      </c>
      <c r="D95" s="2" t="s">
        <v>152</v>
      </c>
    </row>
    <row r="96" spans="1:4" x14ac:dyDescent="0.45">
      <c r="A96" s="8" t="s">
        <v>153</v>
      </c>
      <c r="B96" s="6">
        <f>$B$95*$B$36/100</f>
        <v>55.248466000000008</v>
      </c>
      <c r="C96" s="2" t="s">
        <v>42</v>
      </c>
      <c r="D96" s="2" t="s">
        <v>154</v>
      </c>
    </row>
    <row r="97" spans="1:4" x14ac:dyDescent="0.45">
      <c r="A97" s="8" t="s">
        <v>155</v>
      </c>
      <c r="B97" s="6">
        <f>$B$92/3.5</f>
        <v>76.201955428571438</v>
      </c>
      <c r="C97" s="2" t="s">
        <v>42</v>
      </c>
      <c r="D97" s="2" t="s">
        <v>156</v>
      </c>
    </row>
    <row r="98" spans="1:4" x14ac:dyDescent="0.45">
      <c r="A98" s="9" t="s">
        <v>157</v>
      </c>
      <c r="B98" s="10">
        <f>$B$97/$B$96</f>
        <v>1.3792592074605552</v>
      </c>
      <c r="C98" s="9" t="s">
        <v>158</v>
      </c>
      <c r="D98" s="9" t="s">
        <v>159</v>
      </c>
    </row>
  </sheetData>
  <mergeCells count="4">
    <mergeCell ref="A1:J1"/>
    <mergeCell ref="A4:D4"/>
    <mergeCell ref="A68:D68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D4AF37"/>
  </sheetPr>
  <dimension ref="A1:J18"/>
  <sheetViews>
    <sheetView workbookViewId="0"/>
  </sheetViews>
  <sheetFormatPr defaultRowHeight="14.25" x14ac:dyDescent="0.45"/>
  <cols>
    <col min="1" max="1" width="42" customWidth="1"/>
    <col min="2" max="2" width="21" customWidth="1"/>
    <col min="3" max="3" width="18" customWidth="1"/>
    <col min="4" max="4" width="17" customWidth="1"/>
    <col min="5" max="5" width="22" customWidth="1"/>
    <col min="6" max="6" width="27" customWidth="1"/>
    <col min="7" max="7" width="26" customWidth="1"/>
    <col min="8" max="8" width="17" customWidth="1"/>
    <col min="9" max="9" width="26" customWidth="1"/>
    <col min="10" max="10" width="13" customWidth="1"/>
  </cols>
  <sheetData>
    <row r="1" spans="1:10" ht="30" customHeight="1" x14ac:dyDescent="0.45">
      <c r="A1" s="70" t="s">
        <v>160</v>
      </c>
      <c r="B1" s="71"/>
      <c r="C1" s="71"/>
      <c r="D1" s="71"/>
      <c r="E1" s="71"/>
      <c r="F1" s="71"/>
      <c r="G1" s="71"/>
      <c r="H1" s="71"/>
      <c r="I1" s="71"/>
      <c r="J1" s="71"/>
    </row>
    <row r="2" spans="1:10" x14ac:dyDescent="0.45">
      <c r="A2" s="73" t="s">
        <v>161</v>
      </c>
      <c r="B2" s="71"/>
      <c r="C2" s="71"/>
      <c r="D2" s="71"/>
      <c r="E2" s="71"/>
      <c r="F2" s="71"/>
      <c r="G2" s="71"/>
      <c r="H2" s="71"/>
      <c r="I2" s="71"/>
      <c r="J2" s="71"/>
    </row>
    <row r="4" spans="1:10" ht="28.05" customHeight="1" x14ac:dyDescent="0.45">
      <c r="A4" s="14" t="s">
        <v>162</v>
      </c>
      <c r="B4" s="14" t="s">
        <v>163</v>
      </c>
      <c r="C4" s="14" t="s">
        <v>164</v>
      </c>
      <c r="D4" s="14" t="s">
        <v>165</v>
      </c>
      <c r="E4" s="14" t="s">
        <v>166</v>
      </c>
      <c r="F4" s="14" t="s">
        <v>167</v>
      </c>
      <c r="G4" s="14" t="s">
        <v>168</v>
      </c>
      <c r="H4" s="14" t="s">
        <v>169</v>
      </c>
      <c r="I4" s="14" t="s">
        <v>170</v>
      </c>
    </row>
    <row r="5" spans="1:10" x14ac:dyDescent="0.45">
      <c r="A5" s="8" t="s">
        <v>171</v>
      </c>
      <c r="B5" s="2" t="s">
        <v>172</v>
      </c>
      <c r="C5" s="3">
        <f>Assumptions!$B$11</f>
        <v>220</v>
      </c>
      <c r="D5" s="3">
        <f>Assumptions!$B$12</f>
        <v>1050</v>
      </c>
      <c r="E5" s="3">
        <f>Assumptions!$B$13</f>
        <v>8500</v>
      </c>
      <c r="F5" s="3">
        <f>Assumptions!$B$14</f>
        <v>9200</v>
      </c>
      <c r="G5" s="6">
        <f>Assumptions!$B$70/Assumptions!$B$11</f>
        <v>0.96600000000000008</v>
      </c>
      <c r="H5" s="6">
        <f>Assumptions!$B$70</f>
        <v>212.52</v>
      </c>
      <c r="I5" s="15">
        <f>Assumptions!$B$70/Assumptions!$B$73</f>
        <v>0.23752894786255244</v>
      </c>
    </row>
    <row r="6" spans="1:10" x14ac:dyDescent="0.45">
      <c r="A6" s="8" t="s">
        <v>173</v>
      </c>
      <c r="B6" s="2" t="s">
        <v>174</v>
      </c>
      <c r="C6" s="3">
        <f>Assumptions!$B$17</f>
        <v>280</v>
      </c>
      <c r="D6" s="3">
        <f>Assumptions!$B$18</f>
        <v>1600</v>
      </c>
      <c r="E6" s="3">
        <f>Assumptions!$B$19</f>
        <v>10800</v>
      </c>
      <c r="F6" s="3">
        <f>Assumptions!$B$20</f>
        <v>11500</v>
      </c>
      <c r="G6" s="6">
        <f>Assumptions!$B$71/Assumptions!$B$17</f>
        <v>1.84</v>
      </c>
      <c r="H6" s="6">
        <f>Assumptions!$B$71</f>
        <v>515.20000000000005</v>
      </c>
      <c r="I6" s="15">
        <f>Assumptions!$B$71/Assumptions!$B$73</f>
        <v>0.57582775239406658</v>
      </c>
    </row>
    <row r="7" spans="1:10" x14ac:dyDescent="0.45">
      <c r="A7" s="8" t="s">
        <v>175</v>
      </c>
      <c r="B7" s="2" t="s">
        <v>176</v>
      </c>
      <c r="C7" s="3">
        <f>Assumptions!$B$23</f>
        <v>42</v>
      </c>
      <c r="D7" s="3">
        <f>Assumptions!$B$24</f>
        <v>2800</v>
      </c>
      <c r="E7" s="3">
        <f>Assumptions!$B$25</f>
        <v>12500</v>
      </c>
      <c r="F7" s="3">
        <f>Assumptions!$B$26</f>
        <v>14200</v>
      </c>
      <c r="G7" s="6">
        <f>Assumptions!$B$72/Assumptions!$B$23</f>
        <v>3.976</v>
      </c>
      <c r="H7" s="6">
        <f>Assumptions!$B$72</f>
        <v>166.99199999999999</v>
      </c>
      <c r="I7" s="15">
        <f>Assumptions!$B$72/Assumptions!$B$73</f>
        <v>0.18664329974338109</v>
      </c>
    </row>
    <row r="8" spans="1:10" x14ac:dyDescent="0.45">
      <c r="A8" s="16" t="s">
        <v>177</v>
      </c>
      <c r="B8" s="17"/>
      <c r="C8" s="18">
        <f>Assumptions!$B$74</f>
        <v>542</v>
      </c>
      <c r="D8" s="18">
        <f>Assumptions!$B$7</f>
        <v>1476</v>
      </c>
      <c r="E8" s="17"/>
      <c r="F8" s="18">
        <f>Assumptions!$B$75</f>
        <v>11183.9</v>
      </c>
      <c r="G8" s="19">
        <f>Assumptions!$B$76</f>
        <v>1.6507601476014759</v>
      </c>
      <c r="H8" s="19">
        <f>Assumptions!$B$73</f>
        <v>894.71199999999999</v>
      </c>
      <c r="I8" s="20">
        <v>1</v>
      </c>
    </row>
    <row r="10" spans="1:10" ht="16.899999999999999" x14ac:dyDescent="0.5">
      <c r="A10" s="21" t="s">
        <v>178</v>
      </c>
    </row>
    <row r="11" spans="1:10" ht="28.05" customHeight="1" x14ac:dyDescent="0.45">
      <c r="A11" s="1" t="s">
        <v>179</v>
      </c>
      <c r="B11" s="1" t="s">
        <v>180</v>
      </c>
      <c r="C11" s="1" t="s">
        <v>181</v>
      </c>
      <c r="D11" s="1" t="s">
        <v>182</v>
      </c>
      <c r="E11" s="1" t="s">
        <v>183</v>
      </c>
      <c r="F11" s="1" t="s">
        <v>184</v>
      </c>
      <c r="G11" s="1" t="s">
        <v>185</v>
      </c>
      <c r="H11" s="1" t="s">
        <v>186</v>
      </c>
      <c r="I11" s="1" t="s">
        <v>187</v>
      </c>
      <c r="J11" s="1" t="s">
        <v>53</v>
      </c>
    </row>
    <row r="12" spans="1:10" x14ac:dyDescent="0.45">
      <c r="A12" s="8" t="s">
        <v>188</v>
      </c>
      <c r="B12" s="2" t="s">
        <v>189</v>
      </c>
      <c r="C12" s="15">
        <v>0</v>
      </c>
      <c r="D12" s="3">
        <f>ROUND($C$12*Assumptions!$B$74,0)</f>
        <v>0</v>
      </c>
      <c r="E12" s="22">
        <f>$C$12*Assumptions!$B$73</f>
        <v>0</v>
      </c>
      <c r="F12" s="3">
        <f>$D$12</f>
        <v>0</v>
      </c>
      <c r="G12" s="22">
        <f>$E$12</f>
        <v>0</v>
      </c>
      <c r="H12" s="15">
        <f>$G$12/Assumptions!$B$73</f>
        <v>0</v>
      </c>
      <c r="I12" s="22">
        <f>IF($J$12=0,0,$D$12/$J$12)</f>
        <v>0</v>
      </c>
      <c r="J12" s="3">
        <v>2</v>
      </c>
    </row>
    <row r="13" spans="1:10" x14ac:dyDescent="0.45">
      <c r="A13" s="8" t="s">
        <v>190</v>
      </c>
      <c r="B13" s="2" t="s">
        <v>191</v>
      </c>
      <c r="C13" s="15">
        <v>0</v>
      </c>
      <c r="D13" s="3">
        <f>ROUND($C$13*Assumptions!$B$74,0)</f>
        <v>0</v>
      </c>
      <c r="E13" s="22">
        <f>$C$13*Assumptions!$B$73</f>
        <v>0</v>
      </c>
      <c r="F13" s="3">
        <f>$F$12+$D$13</f>
        <v>0</v>
      </c>
      <c r="G13" s="22">
        <f>$G$12+$E$13</f>
        <v>0</v>
      </c>
      <c r="H13" s="15">
        <f>$G$13/Assumptions!$B$73</f>
        <v>0</v>
      </c>
      <c r="I13" s="22">
        <f>IF($J$13=0,0,$D$13/$J$13)</f>
        <v>0</v>
      </c>
      <c r="J13" s="3">
        <v>2</v>
      </c>
    </row>
    <row r="14" spans="1:10" x14ac:dyDescent="0.45">
      <c r="A14" s="8" t="s">
        <v>192</v>
      </c>
      <c r="B14" s="2" t="s">
        <v>193</v>
      </c>
      <c r="C14" s="15">
        <v>0.15</v>
      </c>
      <c r="D14" s="3">
        <f>ROUND($C$14*Assumptions!$B$74,0)</f>
        <v>81</v>
      </c>
      <c r="E14" s="22">
        <f>$C$14*Assumptions!$B$73</f>
        <v>134.20679999999999</v>
      </c>
      <c r="F14" s="3">
        <f>$F$13+$D$14</f>
        <v>81</v>
      </c>
      <c r="G14" s="22">
        <f>$G$13+$E$14</f>
        <v>134.20679999999999</v>
      </c>
      <c r="H14" s="15">
        <f>$G$14/Assumptions!$B$73</f>
        <v>0.15</v>
      </c>
      <c r="I14" s="22">
        <f>IF($J$14=0,0,$D$14/$J$14)</f>
        <v>81</v>
      </c>
      <c r="J14" s="3">
        <v>1</v>
      </c>
    </row>
    <row r="15" spans="1:10" x14ac:dyDescent="0.45">
      <c r="A15" s="8" t="s">
        <v>194</v>
      </c>
      <c r="B15" s="2" t="s">
        <v>195</v>
      </c>
      <c r="C15" s="15">
        <v>0.27</v>
      </c>
      <c r="D15" s="3">
        <f>ROUND($C$15*Assumptions!$B$74,0)</f>
        <v>146</v>
      </c>
      <c r="E15" s="22">
        <f>$C$15*Assumptions!$B$73</f>
        <v>241.57224000000002</v>
      </c>
      <c r="F15" s="3">
        <f>$F$14+$D$15</f>
        <v>227</v>
      </c>
      <c r="G15" s="22">
        <f>$G$14+$E$15</f>
        <v>375.77904000000001</v>
      </c>
      <c r="H15" s="15">
        <f>$G$15/Assumptions!$B$73</f>
        <v>0.42000000000000004</v>
      </c>
      <c r="I15" s="22">
        <f>IF($J$15=0,0,$D$15/$J$15)</f>
        <v>20.857142857142858</v>
      </c>
      <c r="J15" s="3">
        <v>7</v>
      </c>
    </row>
    <row r="16" spans="1:10" x14ac:dyDescent="0.45">
      <c r="A16" s="8" t="s">
        <v>196</v>
      </c>
      <c r="B16" s="2" t="s">
        <v>197</v>
      </c>
      <c r="C16" s="15">
        <v>0.31</v>
      </c>
      <c r="D16" s="3">
        <f>ROUND($C$16*Assumptions!$B$74,0)</f>
        <v>168</v>
      </c>
      <c r="E16" s="22">
        <f>$C$16*Assumptions!$B$73</f>
        <v>277.36072000000001</v>
      </c>
      <c r="F16" s="3">
        <f>$F$15+$D$16</f>
        <v>395</v>
      </c>
      <c r="G16" s="22">
        <f>$G$15+$E$16</f>
        <v>653.13976000000002</v>
      </c>
      <c r="H16" s="15">
        <f>$G$16/Assumptions!$B$73</f>
        <v>0.73</v>
      </c>
      <c r="I16" s="22">
        <f>IF($J$16=0,0,$D$16/$J$16)</f>
        <v>14</v>
      </c>
      <c r="J16" s="3">
        <v>12</v>
      </c>
    </row>
    <row r="17" spans="1:10" x14ac:dyDescent="0.45">
      <c r="A17" s="8" t="s">
        <v>198</v>
      </c>
      <c r="B17" s="2" t="s">
        <v>199</v>
      </c>
      <c r="C17" s="15">
        <v>0.20499999999999999</v>
      </c>
      <c r="D17" s="3">
        <f>ROUND($C$17*Assumptions!$B$74,0)</f>
        <v>111</v>
      </c>
      <c r="E17" s="22">
        <f>$C$17*Assumptions!$B$73</f>
        <v>183.41595999999998</v>
      </c>
      <c r="F17" s="3">
        <f>$F$16+$D$17</f>
        <v>506</v>
      </c>
      <c r="G17" s="22">
        <f>$G$16+$E$17</f>
        <v>836.55572000000006</v>
      </c>
      <c r="H17" s="15">
        <f>$G$17/Assumptions!$B$73</f>
        <v>0.93500000000000005</v>
      </c>
      <c r="I17" s="22">
        <f>IF($J$17=0,0,$D$17/$J$17)</f>
        <v>9.25</v>
      </c>
      <c r="J17" s="3">
        <v>12</v>
      </c>
    </row>
    <row r="18" spans="1:10" x14ac:dyDescent="0.45">
      <c r="A18" s="8" t="s">
        <v>200</v>
      </c>
      <c r="B18" s="2" t="s">
        <v>201</v>
      </c>
      <c r="C18" s="15">
        <v>6.5000000000000002E-2</v>
      </c>
      <c r="D18" s="3">
        <f>ROUND($C$18*Assumptions!$B$74,0)</f>
        <v>35</v>
      </c>
      <c r="E18" s="22">
        <f>$C$18*Assumptions!$B$73</f>
        <v>58.156280000000002</v>
      </c>
      <c r="F18" s="3">
        <f>$F$17+$D$18</f>
        <v>541</v>
      </c>
      <c r="G18" s="22">
        <f>$G$17+$E$18</f>
        <v>894.7120000000001</v>
      </c>
      <c r="H18" s="15">
        <f>$G$18/Assumptions!$B$73</f>
        <v>1.0000000000000002</v>
      </c>
      <c r="I18" s="22">
        <f>IF($J$18=0,0,$D$18/$J$18)</f>
        <v>5.833333333333333</v>
      </c>
      <c r="J18" s="3">
        <v>6</v>
      </c>
    </row>
  </sheetData>
  <mergeCells count="2">
    <mergeCell ref="A1:J1"/>
    <mergeCell ref="A2:J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86C3"/>
  </sheetPr>
  <dimension ref="A1:J24"/>
  <sheetViews>
    <sheetView workbookViewId="0"/>
  </sheetViews>
  <sheetFormatPr defaultRowHeight="14.25" x14ac:dyDescent="0.45"/>
  <cols>
    <col min="1" max="1" width="42" customWidth="1"/>
    <col min="2" max="2" width="15" customWidth="1"/>
    <col min="3" max="3" width="18" customWidth="1"/>
    <col min="4" max="4" width="13" customWidth="1"/>
    <col min="5" max="5" width="18" customWidth="1"/>
    <col min="6" max="6" width="26" customWidth="1"/>
    <col min="7" max="10" width="13" customWidth="1"/>
  </cols>
  <sheetData>
    <row r="1" spans="1:10" ht="30" customHeight="1" x14ac:dyDescent="0.45">
      <c r="A1" s="70" t="s">
        <v>202</v>
      </c>
      <c r="B1" s="71"/>
      <c r="C1" s="71"/>
      <c r="D1" s="71"/>
      <c r="E1" s="71"/>
      <c r="F1" s="71"/>
      <c r="G1" s="71"/>
      <c r="H1" s="71"/>
      <c r="I1" s="71"/>
      <c r="J1" s="71"/>
    </row>
    <row r="2" spans="1:10" x14ac:dyDescent="0.45">
      <c r="A2" s="73" t="s">
        <v>203</v>
      </c>
      <c r="B2" s="71"/>
      <c r="C2" s="71"/>
      <c r="D2" s="71"/>
      <c r="E2" s="71"/>
      <c r="F2" s="71"/>
      <c r="G2" s="71"/>
      <c r="H2" s="71"/>
      <c r="I2" s="71"/>
      <c r="J2" s="71"/>
    </row>
    <row r="4" spans="1:10" ht="28.05" customHeight="1" x14ac:dyDescent="0.45">
      <c r="A4" s="23" t="s">
        <v>204</v>
      </c>
      <c r="B4" s="23" t="s">
        <v>205</v>
      </c>
      <c r="C4" s="23" t="s">
        <v>206</v>
      </c>
      <c r="D4" s="23" t="s">
        <v>87</v>
      </c>
      <c r="E4" s="23" t="s">
        <v>207</v>
      </c>
      <c r="F4" s="23" t="s">
        <v>6</v>
      </c>
    </row>
    <row r="5" spans="1:10" x14ac:dyDescent="0.45">
      <c r="A5" s="2" t="s">
        <v>208</v>
      </c>
      <c r="B5" s="2" t="str">
        <f>Assumptions!$B$29&amp;" Rs/sft"</f>
        <v>3100 Rs/sft</v>
      </c>
      <c r="C5" s="6">
        <f>Assumptions!$B$78</f>
        <v>248</v>
      </c>
      <c r="D5" s="15">
        <f>Assumptions!$B$78/Assumptions!$B$73</f>
        <v>0.27718416652509409</v>
      </c>
      <c r="E5" s="15">
        <f>IF(Assumptions!$B$91=0,0,ABS($C$5)/Assumptions!$B$91)</f>
        <v>0.39490121638428083</v>
      </c>
      <c r="F5" s="2" t="s">
        <v>209</v>
      </c>
    </row>
    <row r="6" spans="1:10" x14ac:dyDescent="0.45">
      <c r="A6" s="2" t="s">
        <v>39</v>
      </c>
      <c r="B6" s="2" t="str">
        <f>Assumptions!$B$30&amp;" Rs/sft"</f>
        <v>4200 Rs/sft</v>
      </c>
      <c r="C6" s="6">
        <f>Assumptions!$B$79</f>
        <v>336</v>
      </c>
      <c r="D6" s="15">
        <f>Assumptions!$B$79/Assumptions!$B$73</f>
        <v>0.37553983851786943</v>
      </c>
      <c r="E6" s="15">
        <f>IF(Assumptions!$B$91=0,0,ABS($C$6)/Assumptions!$B$91)</f>
        <v>0.53502745445612243</v>
      </c>
      <c r="F6" s="2" t="s">
        <v>210</v>
      </c>
    </row>
    <row r="7" spans="1:10" x14ac:dyDescent="0.45">
      <c r="A7" s="9" t="s">
        <v>211</v>
      </c>
      <c r="B7" s="9"/>
      <c r="C7" s="10">
        <f>Assumptions!$B$80</f>
        <v>584</v>
      </c>
      <c r="D7" s="24">
        <f>Assumptions!$B$80/Assumptions!$B$73</f>
        <v>0.65272400504296357</v>
      </c>
      <c r="E7" s="24">
        <f>IF(Assumptions!$B$91=0,0,ABS($C$7)/Assumptions!$B$91)</f>
        <v>0.9299286708404032</v>
      </c>
      <c r="F7" s="9"/>
    </row>
    <row r="8" spans="1:10" x14ac:dyDescent="0.45">
      <c r="A8" s="2"/>
      <c r="B8" s="2"/>
      <c r="C8" s="6"/>
      <c r="D8" s="15"/>
      <c r="F8" s="2"/>
    </row>
    <row r="9" spans="1:10" x14ac:dyDescent="0.45">
      <c r="A9" s="2" t="s">
        <v>41</v>
      </c>
      <c r="B9" s="2" t="s">
        <v>212</v>
      </c>
      <c r="C9" s="6">
        <f>Assumptions!$B$31</f>
        <v>8</v>
      </c>
      <c r="D9" s="15">
        <f>Assumptions!$B$31/Assumptions!$B$73</f>
        <v>8.9414247266159392E-3</v>
      </c>
      <c r="E9" s="15">
        <f>IF(Assumptions!$B$91=0,0,ABS($C$9)/Assumptions!$B$91)</f>
        <v>1.2738748915621961E-2</v>
      </c>
      <c r="F9" s="2" t="s">
        <v>43</v>
      </c>
    </row>
    <row r="10" spans="1:10" x14ac:dyDescent="0.45">
      <c r="A10" s="2" t="s">
        <v>213</v>
      </c>
      <c r="B10" s="2" t="str">
        <f>Assumptions!$B$32&amp;"% of hard costs"</f>
        <v>2% of hard costs</v>
      </c>
      <c r="C10" s="6">
        <f>Assumptions!$B$81</f>
        <v>11.68</v>
      </c>
      <c r="D10" s="15">
        <f>Assumptions!$B$81/Assumptions!$B$73</f>
        <v>1.3054480100859271E-2</v>
      </c>
      <c r="E10" s="15">
        <f>IF(Assumptions!$B$91=0,0,ABS($C$10)/Assumptions!$B$91)</f>
        <v>1.8598573416808064E-2</v>
      </c>
      <c r="F10" s="2" t="s">
        <v>214</v>
      </c>
    </row>
    <row r="11" spans="1:10" x14ac:dyDescent="0.45">
      <c r="A11" s="2"/>
      <c r="B11" s="2"/>
      <c r="C11" s="6"/>
      <c r="D11" s="15"/>
      <c r="F11" s="2"/>
    </row>
    <row r="12" spans="1:10" x14ac:dyDescent="0.45">
      <c r="A12" s="2" t="s">
        <v>215</v>
      </c>
      <c r="B12" s="2" t="str">
        <f>Assumptions!$B$40&amp;"% of GTV"</f>
        <v>1.5% of GTV</v>
      </c>
      <c r="C12" s="6">
        <f>Assumptions!$B$83</f>
        <v>13.420679999999999</v>
      </c>
      <c r="D12" s="15">
        <f>Assumptions!$B$83/Assumptions!$B$73</f>
        <v>1.4999999999999999E-2</v>
      </c>
      <c r="E12" s="15">
        <f>IF(Assumptions!$B$91=0,0,ABS($C$12)/Assumptions!$B$91)</f>
        <v>2.1370334099613666E-2</v>
      </c>
      <c r="F12" s="2" t="s">
        <v>216</v>
      </c>
    </row>
    <row r="13" spans="1:10" x14ac:dyDescent="0.45">
      <c r="A13" s="2" t="s">
        <v>217</v>
      </c>
      <c r="B13" s="2" t="str">
        <f>Assumptions!$B$41&amp;"% of GTV"</f>
        <v>0.8% of GTV</v>
      </c>
      <c r="C13" s="6">
        <f>Assumptions!$B$84</f>
        <v>7.1576960000000005</v>
      </c>
      <c r="D13" s="15">
        <f>Assumptions!$B$84/Assumptions!$B$73</f>
        <v>8.0000000000000002E-3</v>
      </c>
      <c r="E13" s="15">
        <f>IF(Assumptions!$B$91=0,0,ABS($C$13)/Assumptions!$B$91)</f>
        <v>1.1397511519793957E-2</v>
      </c>
      <c r="F13" s="2" t="s">
        <v>218</v>
      </c>
    </row>
    <row r="14" spans="1:10" x14ac:dyDescent="0.45">
      <c r="A14" s="2" t="s">
        <v>219</v>
      </c>
      <c r="B14" s="2" t="str">
        <f>Assumptions!$B$42&amp;" L/mo x 42 mo"</f>
        <v>3 L/mo x 42 mo</v>
      </c>
      <c r="C14" s="6">
        <f>Assumptions!$B$85</f>
        <v>1.26</v>
      </c>
      <c r="D14" s="15">
        <f>Assumptions!$B$85/Assumptions!$B$73</f>
        <v>1.4082743944420105E-3</v>
      </c>
      <c r="E14" s="15">
        <f>IF(Assumptions!$B$91=0,0,ABS($C$14)/Assumptions!$B$91)</f>
        <v>2.0063529542104588E-3</v>
      </c>
      <c r="F14" s="2" t="s">
        <v>62</v>
      </c>
    </row>
    <row r="15" spans="1:10" x14ac:dyDescent="0.45">
      <c r="A15" s="2" t="s">
        <v>220</v>
      </c>
      <c r="B15" s="2" t="s">
        <v>221</v>
      </c>
      <c r="C15" s="6">
        <f>Assumptions!$B$86</f>
        <v>0.25</v>
      </c>
      <c r="D15" s="15">
        <f>Assumptions!$B$86/Assumptions!$B$73</f>
        <v>2.794195227067481E-4</v>
      </c>
      <c r="E15" s="15">
        <f>IF(Assumptions!$B$91=0,0,ABS($C$15)/Assumptions!$B$91)</f>
        <v>3.9808590361318629E-4</v>
      </c>
      <c r="F15" s="2" t="s">
        <v>222</v>
      </c>
    </row>
    <row r="16" spans="1:10" x14ac:dyDescent="0.45">
      <c r="A16" s="2" t="s">
        <v>139</v>
      </c>
      <c r="B16" s="2" t="str">
        <f>Assumptions!$B$44&amp;"% of GTV"</f>
        <v>0.25% of GTV</v>
      </c>
      <c r="C16" s="6">
        <f>Assumptions!$B$87</f>
        <v>2.23678</v>
      </c>
      <c r="D16" s="15">
        <f>Assumptions!$B$87/Assumptions!$B$73</f>
        <v>2.5000000000000001E-3</v>
      </c>
      <c r="E16" s="15">
        <f>IF(Assumptions!$B$91=0,0,ABS($C$16)/Assumptions!$B$91)</f>
        <v>3.5617223499356115E-3</v>
      </c>
      <c r="F16" s="2" t="s">
        <v>223</v>
      </c>
    </row>
    <row r="17" spans="1:6" x14ac:dyDescent="0.45">
      <c r="A17" s="9" t="s">
        <v>224</v>
      </c>
      <c r="B17" s="9"/>
      <c r="C17" s="10">
        <f>Assumptions!$B$88</f>
        <v>24.325156</v>
      </c>
      <c r="D17" s="24">
        <f>Assumptions!$B$88/Assumptions!$B$73</f>
        <v>2.7187693917148759E-2</v>
      </c>
      <c r="E17" s="24">
        <f>IF(Assumptions!$B$91=0,0,ABS($C$17)/Assumptions!$B$91)</f>
        <v>3.8734006827166878E-2</v>
      </c>
      <c r="F17" s="9"/>
    </row>
    <row r="18" spans="1:6" x14ac:dyDescent="0.45">
      <c r="A18" s="2"/>
      <c r="B18" s="2"/>
      <c r="C18" s="6"/>
      <c r="D18" s="15"/>
      <c r="F18" s="2"/>
    </row>
    <row r="19" spans="1:6" x14ac:dyDescent="0.45">
      <c r="A19" s="9" t="s">
        <v>225</v>
      </c>
      <c r="B19" s="9"/>
      <c r="C19" s="10">
        <f>Assumptions!$B$91</f>
        <v>628.00515599999994</v>
      </c>
      <c r="D19" s="24">
        <f>Assumptions!$B$91/Assumptions!$B$73</f>
        <v>0.70190760378758743</v>
      </c>
      <c r="E19" s="25"/>
      <c r="F19" s="9"/>
    </row>
    <row r="20" spans="1:6" x14ac:dyDescent="0.45">
      <c r="A20" s="2"/>
      <c r="B20" s="2"/>
      <c r="C20" s="6"/>
      <c r="D20" s="15"/>
      <c r="F20" s="2"/>
    </row>
    <row r="21" spans="1:6" x14ac:dyDescent="0.45">
      <c r="A21" s="9" t="s">
        <v>226</v>
      </c>
      <c r="B21" s="9"/>
      <c r="C21" s="10">
        <f>Assumptions!$B$73</f>
        <v>894.71199999999999</v>
      </c>
      <c r="D21" s="24">
        <v>1</v>
      </c>
      <c r="E21" s="25"/>
      <c r="F21" s="9"/>
    </row>
    <row r="22" spans="1:6" x14ac:dyDescent="0.45">
      <c r="A22" s="2" t="s">
        <v>227</v>
      </c>
      <c r="B22" s="2"/>
      <c r="C22" s="6">
        <f>-Assumptions!$B$91</f>
        <v>-628.00515599999994</v>
      </c>
      <c r="D22" s="15">
        <f>-Assumptions!$B$91/Assumptions!$B$73</f>
        <v>-0.70190760378758743</v>
      </c>
      <c r="F22" s="2"/>
    </row>
    <row r="23" spans="1:6" x14ac:dyDescent="0.45">
      <c r="A23" s="12" t="s">
        <v>228</v>
      </c>
      <c r="B23" s="12"/>
      <c r="C23" s="13">
        <f>Assumptions!$B$92</f>
        <v>266.70684400000005</v>
      </c>
      <c r="D23" s="26">
        <f>Assumptions!$B$92/Assumptions!$B$73</f>
        <v>0.29809239621241251</v>
      </c>
      <c r="E23" s="27"/>
      <c r="F23" s="12"/>
    </row>
    <row r="24" spans="1:6" x14ac:dyDescent="0.45">
      <c r="A24" s="12" t="s">
        <v>229</v>
      </c>
      <c r="B24" s="12"/>
      <c r="C24" s="13">
        <f>Assumptions!$B$93/100</f>
        <v>0.29809239621241251</v>
      </c>
      <c r="D24" s="26"/>
      <c r="E24" s="27"/>
      <c r="F24" s="12"/>
    </row>
  </sheetData>
  <mergeCells count="2">
    <mergeCell ref="A1:J1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59669"/>
  </sheetPr>
  <dimension ref="A1:K21"/>
  <sheetViews>
    <sheetView workbookViewId="0"/>
  </sheetViews>
  <sheetFormatPr defaultRowHeight="14.25" x14ac:dyDescent="0.45"/>
  <cols>
    <col min="1" max="1" width="42" customWidth="1"/>
    <col min="2" max="2" width="13" customWidth="1"/>
    <col min="3" max="3" width="22" customWidth="1"/>
    <col min="4" max="4" width="15" customWidth="1"/>
    <col min="5" max="5" width="13" customWidth="1"/>
    <col min="6" max="6" width="20" customWidth="1"/>
    <col min="7" max="7" width="24" customWidth="1"/>
    <col min="8" max="8" width="20" customWidth="1"/>
    <col min="9" max="10" width="21" customWidth="1"/>
    <col min="11" max="11" width="19" customWidth="1"/>
  </cols>
  <sheetData>
    <row r="1" spans="1:11" ht="30" customHeight="1" x14ac:dyDescent="0.45">
      <c r="A1" s="70" t="s">
        <v>230</v>
      </c>
      <c r="B1" s="71"/>
      <c r="C1" s="71"/>
      <c r="D1" s="71"/>
      <c r="E1" s="71"/>
      <c r="F1" s="71"/>
      <c r="G1" s="71"/>
      <c r="H1" s="71"/>
      <c r="I1" s="71"/>
      <c r="J1" s="71"/>
    </row>
    <row r="2" spans="1:11" x14ac:dyDescent="0.45">
      <c r="A2" s="73" t="s">
        <v>231</v>
      </c>
      <c r="B2" s="71"/>
      <c r="C2" s="71"/>
      <c r="D2" s="71"/>
      <c r="E2" s="71"/>
      <c r="F2" s="71"/>
      <c r="G2" s="71"/>
      <c r="H2" s="71"/>
      <c r="I2" s="71"/>
      <c r="J2" s="71"/>
    </row>
    <row r="4" spans="1:11" ht="28.05" customHeight="1" x14ac:dyDescent="0.45">
      <c r="A4" s="7" t="s">
        <v>232</v>
      </c>
      <c r="B4" s="7" t="s">
        <v>53</v>
      </c>
      <c r="C4" s="7" t="s">
        <v>179</v>
      </c>
      <c r="D4" s="7" t="s">
        <v>233</v>
      </c>
      <c r="E4" s="7" t="s">
        <v>182</v>
      </c>
      <c r="F4" s="7" t="s">
        <v>234</v>
      </c>
      <c r="G4" s="7" t="s">
        <v>235</v>
      </c>
      <c r="H4" s="7" t="s">
        <v>236</v>
      </c>
      <c r="I4" s="7" t="s">
        <v>237</v>
      </c>
      <c r="J4" s="7" t="s">
        <v>238</v>
      </c>
      <c r="K4" s="7" t="s">
        <v>184</v>
      </c>
    </row>
    <row r="5" spans="1:11" x14ac:dyDescent="0.45">
      <c r="A5" s="8" t="s">
        <v>239</v>
      </c>
      <c r="B5" s="2" t="s">
        <v>240</v>
      </c>
      <c r="C5" s="2" t="s">
        <v>241</v>
      </c>
      <c r="D5" s="15">
        <v>0</v>
      </c>
      <c r="E5" s="3">
        <f>ROUND($D$5*Assumptions!$B$74,0)</f>
        <v>0</v>
      </c>
      <c r="F5" s="22">
        <f>$D$5*Assumptions!$B$73</f>
        <v>0</v>
      </c>
      <c r="G5" s="22">
        <f>Assumptions!$B$79*0</f>
        <v>0</v>
      </c>
      <c r="H5" s="22">
        <v>0.8</v>
      </c>
      <c r="I5" s="22">
        <f>$F$5-$G$5-$H$5</f>
        <v>-0.8</v>
      </c>
      <c r="J5" s="22">
        <f>$I$5</f>
        <v>-0.8</v>
      </c>
      <c r="K5" s="3">
        <f>$E$5</f>
        <v>0</v>
      </c>
    </row>
    <row r="6" spans="1:11" x14ac:dyDescent="0.45">
      <c r="A6" s="28" t="s">
        <v>242</v>
      </c>
      <c r="B6" s="29" t="s">
        <v>243</v>
      </c>
      <c r="C6" s="29" t="s">
        <v>244</v>
      </c>
      <c r="D6" s="30">
        <v>0.15</v>
      </c>
      <c r="E6" s="31">
        <f>ROUND($D$6*Assumptions!$B$74,0)</f>
        <v>81</v>
      </c>
      <c r="F6" s="32">
        <f>$D$6*Assumptions!$B$73</f>
        <v>134.20679999999999</v>
      </c>
      <c r="G6" s="32">
        <f>Assumptions!$B$79*0.083</f>
        <v>27.888000000000002</v>
      </c>
      <c r="H6" s="32">
        <v>3.2</v>
      </c>
      <c r="I6" s="32">
        <f>$F$6-$G$6-$H$6</f>
        <v>103.11879999999998</v>
      </c>
      <c r="J6" s="32">
        <f>$J$5+$I$6</f>
        <v>102.31879999999998</v>
      </c>
      <c r="K6" s="31">
        <f>$K$5+$E$6</f>
        <v>81</v>
      </c>
    </row>
    <row r="7" spans="1:11" x14ac:dyDescent="0.45">
      <c r="A7" s="8" t="s">
        <v>245</v>
      </c>
      <c r="B7" s="2" t="s">
        <v>246</v>
      </c>
      <c r="C7" s="2" t="s">
        <v>247</v>
      </c>
      <c r="D7" s="15">
        <v>0.11</v>
      </c>
      <c r="E7" s="3">
        <f>ROUND($D$7*Assumptions!$B$74,0)</f>
        <v>60</v>
      </c>
      <c r="F7" s="22">
        <f>$D$7*Assumptions!$B$73</f>
        <v>98.418319999999994</v>
      </c>
      <c r="G7" s="22">
        <f>Assumptions!$B$79*0.083</f>
        <v>27.888000000000002</v>
      </c>
      <c r="H7" s="22">
        <v>4.5</v>
      </c>
      <c r="I7" s="22">
        <f>$F$7-$G$7-$H$7</f>
        <v>66.030319999999989</v>
      </c>
      <c r="J7" s="22">
        <f>$J$6+$I$7</f>
        <v>168.34911999999997</v>
      </c>
      <c r="K7" s="3">
        <f>$K$6+$E$7</f>
        <v>141</v>
      </c>
    </row>
    <row r="8" spans="1:11" x14ac:dyDescent="0.45">
      <c r="A8" s="28" t="s">
        <v>248</v>
      </c>
      <c r="B8" s="29" t="s">
        <v>249</v>
      </c>
      <c r="C8" s="29" t="s">
        <v>250</v>
      </c>
      <c r="D8" s="30">
        <v>0.16</v>
      </c>
      <c r="E8" s="31">
        <f>ROUND($D$8*Assumptions!$B$74,0)</f>
        <v>87</v>
      </c>
      <c r="F8" s="32">
        <f>$D$8*Assumptions!$B$73</f>
        <v>143.15392</v>
      </c>
      <c r="G8" s="32">
        <f>Assumptions!$B$79*0.083</f>
        <v>27.888000000000002</v>
      </c>
      <c r="H8" s="32">
        <v>4.2</v>
      </c>
      <c r="I8" s="32">
        <f>$F$8-$G$8-$H$8</f>
        <v>111.06591999999999</v>
      </c>
      <c r="J8" s="32">
        <f>$J$7+$I$8</f>
        <v>279.41503999999998</v>
      </c>
      <c r="K8" s="31">
        <f>$K$7+$E$8</f>
        <v>228</v>
      </c>
    </row>
    <row r="9" spans="1:11" x14ac:dyDescent="0.45">
      <c r="A9" s="8" t="s">
        <v>251</v>
      </c>
      <c r="B9" s="2" t="s">
        <v>252</v>
      </c>
      <c r="C9" s="2" t="s">
        <v>253</v>
      </c>
      <c r="D9" s="15">
        <v>0.09</v>
      </c>
      <c r="E9" s="3">
        <f>ROUND($D$9*Assumptions!$B$74,0)</f>
        <v>49</v>
      </c>
      <c r="F9" s="22">
        <f>$D$9*Assumptions!$B$73</f>
        <v>80.524079999999998</v>
      </c>
      <c r="G9" s="22">
        <f>Assumptions!$B$79*0.083</f>
        <v>27.888000000000002</v>
      </c>
      <c r="H9" s="22">
        <v>2.8</v>
      </c>
      <c r="I9" s="22">
        <f>$F$9-$G$9-$H$9</f>
        <v>49.836079999999995</v>
      </c>
      <c r="J9" s="22">
        <f>$J$8+$I$9</f>
        <v>329.25111999999996</v>
      </c>
      <c r="K9" s="3">
        <f>$K$8+$E$9</f>
        <v>277</v>
      </c>
    </row>
    <row r="10" spans="1:11" x14ac:dyDescent="0.45">
      <c r="A10" s="28" t="s">
        <v>254</v>
      </c>
      <c r="B10" s="29" t="s">
        <v>255</v>
      </c>
      <c r="C10" s="29" t="s">
        <v>253</v>
      </c>
      <c r="D10" s="30">
        <v>0.08</v>
      </c>
      <c r="E10" s="31">
        <f>ROUND($D$10*Assumptions!$B$74,0)</f>
        <v>43</v>
      </c>
      <c r="F10" s="32">
        <f>$D$10*Assumptions!$B$73</f>
        <v>71.57696</v>
      </c>
      <c r="G10" s="32">
        <f>Assumptions!$B$79*0.083</f>
        <v>27.888000000000002</v>
      </c>
      <c r="H10" s="32">
        <v>2.5</v>
      </c>
      <c r="I10" s="32">
        <f>$F$10-$G$10-$H$10</f>
        <v>41.188959999999994</v>
      </c>
      <c r="J10" s="32">
        <f>$J$9+$I$10</f>
        <v>370.44007999999997</v>
      </c>
      <c r="K10" s="31">
        <f>$K$9+$E$10</f>
        <v>320</v>
      </c>
    </row>
    <row r="11" spans="1:11" x14ac:dyDescent="0.45">
      <c r="A11" s="8" t="s">
        <v>256</v>
      </c>
      <c r="B11" s="2" t="s">
        <v>257</v>
      </c>
      <c r="C11" s="2" t="s">
        <v>253</v>
      </c>
      <c r="D11" s="15">
        <v>7.4999999999999997E-2</v>
      </c>
      <c r="E11" s="3">
        <f>ROUND($D$11*Assumptions!$B$74,0)</f>
        <v>41</v>
      </c>
      <c r="F11" s="22">
        <f>$D$11*Assumptions!$B$73</f>
        <v>67.103399999999993</v>
      </c>
      <c r="G11" s="22">
        <f>Assumptions!$B$79*0.083</f>
        <v>27.888000000000002</v>
      </c>
      <c r="H11" s="22">
        <v>2.2000000000000002</v>
      </c>
      <c r="I11" s="22">
        <f>$F$11-$G$11-$H$11</f>
        <v>37.015399999999985</v>
      </c>
      <c r="J11" s="22">
        <f>$J$10+$I$11</f>
        <v>407.45547999999997</v>
      </c>
      <c r="K11" s="3">
        <f>$K$10+$E$11</f>
        <v>361</v>
      </c>
    </row>
    <row r="12" spans="1:11" x14ac:dyDescent="0.45">
      <c r="A12" s="28" t="s">
        <v>258</v>
      </c>
      <c r="B12" s="29" t="s">
        <v>259</v>
      </c>
      <c r="C12" s="29" t="s">
        <v>253</v>
      </c>
      <c r="D12" s="30">
        <v>7.0000000000000007E-2</v>
      </c>
      <c r="E12" s="31">
        <f>ROUND($D$12*Assumptions!$B$74,0)</f>
        <v>38</v>
      </c>
      <c r="F12" s="32">
        <f>$D$12*Assumptions!$B$73</f>
        <v>62.629840000000009</v>
      </c>
      <c r="G12" s="32">
        <f>Assumptions!$B$79*0.083</f>
        <v>27.888000000000002</v>
      </c>
      <c r="H12" s="32">
        <v>2</v>
      </c>
      <c r="I12" s="32">
        <f>$F$12-$G$12-$H$12</f>
        <v>32.74184000000001</v>
      </c>
      <c r="J12" s="32">
        <f>$J$11+$I$12</f>
        <v>440.19731999999999</v>
      </c>
      <c r="K12" s="31">
        <f>$K$11+$E$12</f>
        <v>399</v>
      </c>
    </row>
    <row r="13" spans="1:11" x14ac:dyDescent="0.45">
      <c r="A13" s="8" t="s">
        <v>260</v>
      </c>
      <c r="B13" s="2" t="s">
        <v>261</v>
      </c>
      <c r="C13" s="2" t="s">
        <v>253</v>
      </c>
      <c r="D13" s="15">
        <v>0.06</v>
      </c>
      <c r="E13" s="3">
        <f>ROUND($D$13*Assumptions!$B$74,0)</f>
        <v>33</v>
      </c>
      <c r="F13" s="22">
        <f>$D$13*Assumptions!$B$73</f>
        <v>53.682719999999996</v>
      </c>
      <c r="G13" s="22">
        <f>Assumptions!$B$79*0.065</f>
        <v>21.84</v>
      </c>
      <c r="H13" s="22">
        <v>1.5</v>
      </c>
      <c r="I13" s="22">
        <f>$F$13-$G$13-$H$13</f>
        <v>30.342719999999996</v>
      </c>
      <c r="J13" s="22">
        <f>$J$12+$I$13</f>
        <v>470.54003999999998</v>
      </c>
      <c r="K13" s="3">
        <f>$K$12+$E$13</f>
        <v>432</v>
      </c>
    </row>
    <row r="14" spans="1:11" x14ac:dyDescent="0.45">
      <c r="A14" s="28" t="s">
        <v>262</v>
      </c>
      <c r="B14" s="29" t="s">
        <v>263</v>
      </c>
      <c r="C14" s="29" t="s">
        <v>253</v>
      </c>
      <c r="D14" s="30">
        <v>5.5E-2</v>
      </c>
      <c r="E14" s="31">
        <f>ROUND($D$14*Assumptions!$B$74,0)</f>
        <v>30</v>
      </c>
      <c r="F14" s="32">
        <f>$D$14*Assumptions!$B$73</f>
        <v>49.209159999999997</v>
      </c>
      <c r="G14" s="32">
        <f>Assumptions!$B$79*0.065</f>
        <v>21.84</v>
      </c>
      <c r="H14" s="32">
        <v>1.2</v>
      </c>
      <c r="I14" s="32">
        <f>$F$14-$G$14-$H$14</f>
        <v>26.169159999999998</v>
      </c>
      <c r="J14" s="32">
        <f>$J$13+$I$14</f>
        <v>496.70919999999995</v>
      </c>
      <c r="K14" s="31">
        <f>$K$13+$E$14</f>
        <v>462</v>
      </c>
    </row>
    <row r="15" spans="1:11" x14ac:dyDescent="0.45">
      <c r="A15" s="8" t="s">
        <v>264</v>
      </c>
      <c r="B15" s="2" t="s">
        <v>265</v>
      </c>
      <c r="C15" s="2" t="s">
        <v>253</v>
      </c>
      <c r="D15" s="15">
        <v>0.05</v>
      </c>
      <c r="E15" s="3">
        <f>ROUND($D$15*Assumptions!$B$74,0)</f>
        <v>27</v>
      </c>
      <c r="F15" s="22">
        <f>$D$15*Assumptions!$B$73</f>
        <v>44.735600000000005</v>
      </c>
      <c r="G15" s="22">
        <f>Assumptions!$B$79*0.065</f>
        <v>21.84</v>
      </c>
      <c r="H15" s="22">
        <v>1</v>
      </c>
      <c r="I15" s="22">
        <f>$F$15-$G$15-$H$15</f>
        <v>21.895600000000005</v>
      </c>
      <c r="J15" s="22">
        <f>$J$14+$I$15</f>
        <v>518.60479999999995</v>
      </c>
      <c r="K15" s="3">
        <f>$K$14+$E$15</f>
        <v>489</v>
      </c>
    </row>
    <row r="16" spans="1:11" x14ac:dyDescent="0.45">
      <c r="A16" s="28" t="s">
        <v>266</v>
      </c>
      <c r="B16" s="29" t="s">
        <v>267</v>
      </c>
      <c r="C16" s="29" t="s">
        <v>268</v>
      </c>
      <c r="D16" s="30">
        <v>0.04</v>
      </c>
      <c r="E16" s="31">
        <f>ROUND($D$16*Assumptions!$B$74,0)</f>
        <v>22</v>
      </c>
      <c r="F16" s="32">
        <f>$D$16*Assumptions!$B$73</f>
        <v>35.78848</v>
      </c>
      <c r="G16" s="32">
        <f>Assumptions!$B$79*0.065</f>
        <v>21.84</v>
      </c>
      <c r="H16" s="32">
        <v>0.8</v>
      </c>
      <c r="I16" s="32">
        <f>$F$16-$G$16-$H$16</f>
        <v>13.148479999999999</v>
      </c>
      <c r="J16" s="32">
        <f>$J$15+$I$16</f>
        <v>531.7532799999999</v>
      </c>
      <c r="K16" s="31">
        <f>$K$15+$E$16</f>
        <v>511</v>
      </c>
    </row>
    <row r="17" spans="1:11" x14ac:dyDescent="0.45">
      <c r="A17" s="8" t="s">
        <v>269</v>
      </c>
      <c r="B17" s="2" t="s">
        <v>270</v>
      </c>
      <c r="C17" s="2" t="s">
        <v>271</v>
      </c>
      <c r="D17" s="15">
        <v>3.5000000000000003E-2</v>
      </c>
      <c r="E17" s="3">
        <f>ROUND($D$17*Assumptions!$B$74,0)</f>
        <v>19</v>
      </c>
      <c r="F17" s="22">
        <f>$D$17*Assumptions!$B$73</f>
        <v>31.314920000000004</v>
      </c>
      <c r="G17" s="22">
        <f>Assumptions!$B$79*0.054</f>
        <v>18.143999999999998</v>
      </c>
      <c r="H17" s="22">
        <v>0.5</v>
      </c>
      <c r="I17" s="22">
        <f>$F$17-$G$17-$H$17</f>
        <v>12.670920000000006</v>
      </c>
      <c r="J17" s="22">
        <f>$J$16+$I$17</f>
        <v>544.42419999999993</v>
      </c>
      <c r="K17" s="3">
        <f>$K$16+$E$17</f>
        <v>530</v>
      </c>
    </row>
    <row r="18" spans="1:11" x14ac:dyDescent="0.45">
      <c r="A18" s="28" t="s">
        <v>272</v>
      </c>
      <c r="B18" s="29" t="s">
        <v>273</v>
      </c>
      <c r="C18" s="29" t="s">
        <v>271</v>
      </c>
      <c r="D18" s="30">
        <v>2.5000000000000001E-2</v>
      </c>
      <c r="E18" s="31">
        <f>ROUND($D$18*Assumptions!$B$74,0)</f>
        <v>14</v>
      </c>
      <c r="F18" s="32">
        <f>$D$18*Assumptions!$B$73</f>
        <v>22.367800000000003</v>
      </c>
      <c r="G18" s="32">
        <f>Assumptions!$B$79*0.054</f>
        <v>18.143999999999998</v>
      </c>
      <c r="H18" s="32">
        <v>0.3</v>
      </c>
      <c r="I18" s="32">
        <f>$F$18-$G$18-$H$18</f>
        <v>3.9238000000000044</v>
      </c>
      <c r="J18" s="32">
        <f>$J$17+$I$18</f>
        <v>548.34799999999996</v>
      </c>
      <c r="K18" s="31">
        <f>$K$17+$E$18</f>
        <v>544</v>
      </c>
    </row>
    <row r="19" spans="1:11" x14ac:dyDescent="0.45">
      <c r="A19" s="8" t="s">
        <v>274</v>
      </c>
      <c r="B19" s="2" t="s">
        <v>275</v>
      </c>
      <c r="C19" s="2" t="s">
        <v>276</v>
      </c>
      <c r="D19" s="15">
        <v>0</v>
      </c>
      <c r="E19" s="3">
        <f>ROUND($D$19*Assumptions!$B$74,0)</f>
        <v>0</v>
      </c>
      <c r="F19" s="22">
        <f>$D$19*Assumptions!$B$73</f>
        <v>0</v>
      </c>
      <c r="G19" s="22">
        <f>Assumptions!$B$79*0.03</f>
        <v>10.08</v>
      </c>
      <c r="H19" s="22">
        <v>0</v>
      </c>
      <c r="I19" s="22">
        <f>$F$19-$G$19-$H$19</f>
        <v>-10.08</v>
      </c>
      <c r="J19" s="22">
        <f>$J$18+$I$19</f>
        <v>538.26799999999992</v>
      </c>
      <c r="K19" s="3">
        <f>$K$18+$E$19</f>
        <v>544</v>
      </c>
    </row>
    <row r="20" spans="1:11" x14ac:dyDescent="0.45">
      <c r="A20" s="28" t="s">
        <v>277</v>
      </c>
      <c r="B20" s="29" t="s">
        <v>278</v>
      </c>
      <c r="C20" s="29" t="s">
        <v>279</v>
      </c>
      <c r="D20" s="30">
        <v>0</v>
      </c>
      <c r="E20" s="31">
        <f>ROUND($D$20*Assumptions!$B$74,0)</f>
        <v>0</v>
      </c>
      <c r="F20" s="32">
        <f>$D$20*Assumptions!$B$73</f>
        <v>0</v>
      </c>
      <c r="G20" s="32">
        <f>Assumptions!$B$79*0.018</f>
        <v>6.0479999999999992</v>
      </c>
      <c r="H20" s="32">
        <v>0</v>
      </c>
      <c r="I20" s="32">
        <f>$F$20-$G$20-$H$20</f>
        <v>-6.0479999999999992</v>
      </c>
      <c r="J20" s="32">
        <f>$J$19+$I$20</f>
        <v>532.21999999999991</v>
      </c>
      <c r="K20" s="31">
        <f>$K$19+$E$20</f>
        <v>544</v>
      </c>
    </row>
    <row r="21" spans="1:11" x14ac:dyDescent="0.45">
      <c r="A21" s="9" t="s">
        <v>280</v>
      </c>
      <c r="B21" s="25"/>
      <c r="C21" s="25"/>
      <c r="D21" s="24">
        <f>SUM($D$5:$D$20)</f>
        <v>1</v>
      </c>
      <c r="E21" s="33">
        <f>SUM($E$5:$E$20)</f>
        <v>544</v>
      </c>
      <c r="F21" s="34">
        <f>SUM($F$5:$F$20)</f>
        <v>894.7120000000001</v>
      </c>
      <c r="G21" s="34">
        <f>SUM($G$5:$G$20)</f>
        <v>334.99199999999996</v>
      </c>
      <c r="H21" s="34">
        <f>SUM($H$5:$H$20)</f>
        <v>27.5</v>
      </c>
      <c r="I21" s="34">
        <f>SUM($I$5:$I$20)</f>
        <v>532.21999999999991</v>
      </c>
      <c r="J21" s="25"/>
      <c r="K21" s="25"/>
    </row>
  </sheetData>
  <mergeCells count="2">
    <mergeCell ref="A1:J1"/>
    <mergeCell ref="A2:J2"/>
  </mergeCells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D4AF37"/>
  </sheetPr>
  <dimension ref="A1:J23"/>
  <sheetViews>
    <sheetView workbookViewId="0"/>
  </sheetViews>
  <sheetFormatPr defaultRowHeight="14.25" x14ac:dyDescent="0.45"/>
  <cols>
    <col min="1" max="2" width="42" customWidth="1"/>
    <col min="3" max="3" width="13" customWidth="1"/>
    <col min="4" max="4" width="19" customWidth="1"/>
    <col min="5" max="5" width="23" customWidth="1"/>
    <col min="6" max="6" width="18" customWidth="1"/>
    <col min="7" max="7" width="13" customWidth="1"/>
    <col min="8" max="8" width="14" customWidth="1"/>
    <col min="9" max="10" width="13" customWidth="1"/>
  </cols>
  <sheetData>
    <row r="1" spans="1:10" ht="30" customHeight="1" x14ac:dyDescent="0.45">
      <c r="A1" s="70" t="s">
        <v>281</v>
      </c>
      <c r="B1" s="71"/>
      <c r="C1" s="71"/>
      <c r="D1" s="71"/>
      <c r="E1" s="71"/>
      <c r="F1" s="71"/>
      <c r="G1" s="71"/>
      <c r="H1" s="71"/>
      <c r="I1" s="71"/>
      <c r="J1" s="71"/>
    </row>
    <row r="2" spans="1:10" x14ac:dyDescent="0.45">
      <c r="A2" s="73" t="s">
        <v>282</v>
      </c>
      <c r="B2" s="71"/>
      <c r="C2" s="71"/>
      <c r="D2" s="71"/>
      <c r="E2" s="71"/>
      <c r="F2" s="71"/>
      <c r="G2" s="71"/>
      <c r="H2" s="71"/>
      <c r="I2" s="71"/>
      <c r="J2" s="71"/>
    </row>
    <row r="4" spans="1:10" ht="16.899999999999999" x14ac:dyDescent="0.5">
      <c r="A4" s="21" t="s">
        <v>283</v>
      </c>
    </row>
    <row r="5" spans="1:10" ht="35" customHeight="1" x14ac:dyDescent="0.45">
      <c r="A5" s="35" t="s">
        <v>284</v>
      </c>
      <c r="B5" s="35" t="s">
        <v>285</v>
      </c>
      <c r="C5" s="35" t="s">
        <v>286</v>
      </c>
      <c r="D5" s="35" t="s">
        <v>287</v>
      </c>
      <c r="E5" s="35" t="s">
        <v>288</v>
      </c>
      <c r="F5" s="35" t="s">
        <v>289</v>
      </c>
    </row>
    <row r="6" spans="1:10" x14ac:dyDescent="0.45">
      <c r="A6" s="36" t="s">
        <v>290</v>
      </c>
      <c r="B6" s="37">
        <f>((8500*Assumptions!$B$6/10000000 - Assumptions!$B$80 - Assumptions!$B$31 - Assumptions!$B$81 - Assumptions!$B$88) / Assumptions!$B$78) / (Assumptions!$B$74/(8*12))</f>
        <v>3.7134753481728365E-2</v>
      </c>
      <c r="C6" s="37">
        <f>((8500*Assumptions!$B$6/10000000 - Assumptions!$B$80 - Assumptions!$B$31 - Assumptions!$B$81 - Assumptions!$B$88) / Assumptions!$B$78) / (Assumptions!$B$74/(10*12))</f>
        <v>4.6418441852160451E-2</v>
      </c>
      <c r="D6" s="37">
        <f>((8500*Assumptions!$B$6/10000000 - Assumptions!$B$80 - Assumptions!$B$31 - Assumptions!$B$81 - Assumptions!$B$88) / Assumptions!$B$78) / (Assumptions!$B$74/(12*12))</f>
        <v>5.5702130222592544E-2</v>
      </c>
      <c r="E6" s="37">
        <f>((8500*Assumptions!$B$6/10000000 - Assumptions!$B$80 - Assumptions!$B$31 - Assumptions!$B$81 - Assumptions!$B$88) / Assumptions!$B$78) / (Assumptions!$B$74/(15*12))</f>
        <v>6.9627662778240673E-2</v>
      </c>
      <c r="F6" s="37">
        <f>((8500*Assumptions!$B$6/10000000 - Assumptions!$B$80 - Assumptions!$B$31 - Assumptions!$B$81 - Assumptions!$B$88) / Assumptions!$B$78) / (Assumptions!$B$74/(18*12))</f>
        <v>8.3553195333888816E-2</v>
      </c>
    </row>
    <row r="7" spans="1:10" x14ac:dyDescent="0.45">
      <c r="A7" s="36" t="s">
        <v>291</v>
      </c>
      <c r="B7" s="37">
        <f>((9200*Assumptions!$B$6/10000000 - Assumptions!$B$80 - Assumptions!$B$31 - Assumptions!$B$81 - Assumptions!$B$88) / Assumptions!$B$78) / (Assumptions!$B$74/(8*12))</f>
        <v>7.7129992143792417E-2</v>
      </c>
      <c r="C7" s="37">
        <f>((9200*Assumptions!$B$6/10000000 - Assumptions!$B$80 - Assumptions!$B$31 - Assumptions!$B$81 - Assumptions!$B$88) / Assumptions!$B$78) / (Assumptions!$B$74/(10*12))</f>
        <v>9.6412490179740518E-2</v>
      </c>
      <c r="D7" s="37">
        <f>((9200*Assumptions!$B$6/10000000 - Assumptions!$B$80 - Assumptions!$B$31 - Assumptions!$B$81 - Assumptions!$B$88) / Assumptions!$B$78) / (Assumptions!$B$74/(12*12))</f>
        <v>0.11569498821568862</v>
      </c>
      <c r="E7" s="37">
        <f>((9200*Assumptions!$B$6/10000000 - Assumptions!$B$80 - Assumptions!$B$31 - Assumptions!$B$81 - Assumptions!$B$88) / Assumptions!$B$78) / (Assumptions!$B$74/(15*12))</f>
        <v>0.14461873526961078</v>
      </c>
      <c r="F7" s="37">
        <f>((9200*Assumptions!$B$6/10000000 - Assumptions!$B$80 - Assumptions!$B$31 - Assumptions!$B$81 - Assumptions!$B$88) / Assumptions!$B$78) / (Assumptions!$B$74/(18*12))</f>
        <v>0.17354248232353295</v>
      </c>
    </row>
    <row r="8" spans="1:10" x14ac:dyDescent="0.45">
      <c r="A8" s="36" t="s">
        <v>292</v>
      </c>
      <c r="B8" s="37">
        <f>((10200*Assumptions!$B$6/10000000 - Assumptions!$B$80 - Assumptions!$B$31 - Assumptions!$B$81 - Assumptions!$B$88) / Assumptions!$B$78) / (Assumptions!$B$74/(8*12))</f>
        <v>0.13426604737531248</v>
      </c>
      <c r="C8" s="37">
        <f>((10200*Assumptions!$B$6/10000000 - Assumptions!$B$80 - Assumptions!$B$31 - Assumptions!$B$81 - Assumptions!$B$88) / Assumptions!$B$78) / (Assumptions!$B$74/(10*12))</f>
        <v>0.16783255921914059</v>
      </c>
      <c r="D8" s="38">
        <f>((10200*Assumptions!$B$6/10000000 - Assumptions!$B$80 - Assumptions!$B$31 - Assumptions!$B$81 - Assumptions!$B$88) / Assumptions!$B$78) / (Assumptions!$B$74/(12*12))</f>
        <v>0.2013990710629687</v>
      </c>
      <c r="E8" s="39">
        <f>((10200*Assumptions!$B$6/10000000 - Assumptions!$B$80 - Assumptions!$B$31 - Assumptions!$B$81 - Assumptions!$B$88) / Assumptions!$B$78) / (Assumptions!$B$74/(15*12))</f>
        <v>0.25174883882871085</v>
      </c>
      <c r="F8" s="39">
        <f>((10200*Assumptions!$B$6/10000000 - Assumptions!$B$80 - Assumptions!$B$31 - Assumptions!$B$81 - Assumptions!$B$88) / Assumptions!$B$78) / (Assumptions!$B$74/(18*12))</f>
        <v>0.30209860659445309</v>
      </c>
    </row>
    <row r="9" spans="1:10" x14ac:dyDescent="0.45">
      <c r="A9" s="36" t="s">
        <v>293</v>
      </c>
      <c r="B9" s="37">
        <f>((10800*Assumptions!$B$6/10000000 - Assumptions!$B$80 - Assumptions!$B$31 - Assumptions!$B$81 - Assumptions!$B$88) / Assumptions!$B$78) / (Assumptions!$B$74/(8*12))</f>
        <v>0.1685476805142245</v>
      </c>
      <c r="C9" s="37">
        <f>((10800*Assumptions!$B$6/10000000 - Assumptions!$B$80 - Assumptions!$B$31 - Assumptions!$B$81 - Assumptions!$B$88) / Assumptions!$B$78) / (Assumptions!$B$74/(10*12))</f>
        <v>0.21068460064278061</v>
      </c>
      <c r="D9" s="39">
        <f>((10800*Assumptions!$B$6/10000000 - Assumptions!$B$80 - Assumptions!$B$31 - Assumptions!$B$81 - Assumptions!$B$88) / Assumptions!$B$78) / (Assumptions!$B$74/(12*12))</f>
        <v>0.25282152077133674</v>
      </c>
      <c r="E9" s="39">
        <f>((10800*Assumptions!$B$6/10000000 - Assumptions!$B$80 - Assumptions!$B$31 - Assumptions!$B$81 - Assumptions!$B$88) / Assumptions!$B$78) / (Assumptions!$B$74/(15*12))</f>
        <v>0.31602690096417091</v>
      </c>
      <c r="F9" s="39">
        <f>((10800*Assumptions!$B$6/10000000 - Assumptions!$B$80 - Assumptions!$B$31 - Assumptions!$B$81 - Assumptions!$B$88) / Assumptions!$B$78) / (Assumptions!$B$74/(18*12))</f>
        <v>0.37923228115700514</v>
      </c>
    </row>
    <row r="10" spans="1:10" x14ac:dyDescent="0.45">
      <c r="A10" s="36" t="s">
        <v>294</v>
      </c>
      <c r="B10" s="37">
        <f>((11500*Assumptions!$B$6/10000000 - Assumptions!$B$80 - Assumptions!$B$31 - Assumptions!$B$81 - Assumptions!$B$88) / Assumptions!$B$78) / (Assumptions!$B$74/(8*12))</f>
        <v>0.20854291917628856</v>
      </c>
      <c r="C10" s="37">
        <f>((11500*Assumptions!$B$6/10000000 - Assumptions!$B$80 - Assumptions!$B$31 - Assumptions!$B$81 - Assumptions!$B$88) / Assumptions!$B$78) / (Assumptions!$B$74/(10*12))</f>
        <v>0.26067864897036069</v>
      </c>
      <c r="D10" s="39">
        <f>((11500*Assumptions!$B$6/10000000 - Assumptions!$B$80 - Assumptions!$B$31 - Assumptions!$B$81 - Assumptions!$B$88) / Assumptions!$B$78) / (Assumptions!$B$74/(12*12))</f>
        <v>0.31281437876443285</v>
      </c>
      <c r="E10" s="39">
        <f>((11500*Assumptions!$B$6/10000000 - Assumptions!$B$80 - Assumptions!$B$31 - Assumptions!$B$81 - Assumptions!$B$88) / Assumptions!$B$78) / (Assumptions!$B$74/(15*12))</f>
        <v>0.39101797345554107</v>
      </c>
      <c r="F10" s="39">
        <f>((11500*Assumptions!$B$6/10000000 - Assumptions!$B$80 - Assumptions!$B$31 - Assumptions!$B$81 - Assumptions!$B$88) / Assumptions!$B$78) / (Assumptions!$B$74/(18*12))</f>
        <v>0.46922156814664928</v>
      </c>
    </row>
    <row r="12" spans="1:10" x14ac:dyDescent="0.45">
      <c r="A12" s="40"/>
      <c r="B12" s="74" t="s">
        <v>295</v>
      </c>
      <c r="C12" s="71"/>
      <c r="D12" s="71"/>
      <c r="E12" s="71"/>
      <c r="F12" s="71"/>
    </row>
    <row r="13" spans="1:10" x14ac:dyDescent="0.45">
      <c r="A13" s="41"/>
      <c r="B13" s="74" t="s">
        <v>296</v>
      </c>
      <c r="C13" s="71"/>
      <c r="D13" s="71"/>
      <c r="E13" s="71"/>
      <c r="F13" s="71"/>
    </row>
    <row r="14" spans="1:10" x14ac:dyDescent="0.45">
      <c r="A14" s="42"/>
      <c r="B14" s="74" t="s">
        <v>297</v>
      </c>
      <c r="C14" s="71"/>
      <c r="D14" s="71"/>
      <c r="E14" s="71"/>
      <c r="F14" s="71"/>
    </row>
    <row r="17" spans="1:8" ht="16.899999999999999" x14ac:dyDescent="0.5">
      <c r="A17" s="21" t="s">
        <v>298</v>
      </c>
    </row>
    <row r="18" spans="1:8" ht="28.05" customHeight="1" x14ac:dyDescent="0.45">
      <c r="A18" s="1" t="s">
        <v>299</v>
      </c>
      <c r="B18" s="1" t="s">
        <v>300</v>
      </c>
      <c r="C18" s="1" t="s">
        <v>301</v>
      </c>
      <c r="D18" s="1" t="s">
        <v>302</v>
      </c>
      <c r="E18" s="1" t="s">
        <v>303</v>
      </c>
      <c r="F18" s="1" t="s">
        <v>304</v>
      </c>
      <c r="G18" s="1" t="s">
        <v>157</v>
      </c>
      <c r="H18" s="1" t="s">
        <v>305</v>
      </c>
    </row>
    <row r="19" spans="1:8" x14ac:dyDescent="0.45">
      <c r="A19" s="8" t="s">
        <v>306</v>
      </c>
      <c r="B19" s="43">
        <v>0.6</v>
      </c>
      <c r="C19" s="22">
        <f>Assumptions!$B$73*$B$19</f>
        <v>536.82719999999995</v>
      </c>
      <c r="D19" s="15">
        <v>9.5000000000000001E-2</v>
      </c>
      <c r="E19" s="22">
        <f>$C$19*$D$19</f>
        <v>50.998583999999994</v>
      </c>
      <c r="F19" s="22">
        <f>Assumptions!$B$97</f>
        <v>76.201955428571438</v>
      </c>
      <c r="G19" s="44">
        <f>$F$19/$E$19</f>
        <v>1.4941974747489351</v>
      </c>
      <c r="H19" s="45" t="str">
        <f>IF($G$19&gt;=1.4,"CLEAR","BLOCKED")</f>
        <v>CLEAR</v>
      </c>
    </row>
    <row r="20" spans="1:8" x14ac:dyDescent="0.45">
      <c r="A20" s="8" t="s">
        <v>307</v>
      </c>
      <c r="B20" s="43">
        <v>0.65</v>
      </c>
      <c r="C20" s="22">
        <f>Assumptions!$B$73*$B$20</f>
        <v>581.56280000000004</v>
      </c>
      <c r="D20" s="15">
        <v>9.5000000000000001E-2</v>
      </c>
      <c r="E20" s="22">
        <f>$C$20*$D$20</f>
        <v>55.248466000000008</v>
      </c>
      <c r="F20" s="22">
        <f>Assumptions!$B$97</f>
        <v>76.201955428571438</v>
      </c>
      <c r="G20" s="44">
        <f>$F$20/$E$20</f>
        <v>1.3792592074605552</v>
      </c>
      <c r="H20" s="45" t="str">
        <f>IF($G$20&gt;=1.4,"CLEAR","BLOCKED")</f>
        <v>BLOCKED</v>
      </c>
    </row>
    <row r="21" spans="1:8" x14ac:dyDescent="0.45">
      <c r="A21" s="8" t="s">
        <v>308</v>
      </c>
      <c r="B21" s="43">
        <v>0.7</v>
      </c>
      <c r="C21" s="22">
        <f>Assumptions!$B$73*$B$21</f>
        <v>626.2983999999999</v>
      </c>
      <c r="D21" s="15">
        <v>0.1</v>
      </c>
      <c r="E21" s="22">
        <f>$C$21*$D$21</f>
        <v>62.629839999999994</v>
      </c>
      <c r="F21" s="22">
        <f>Assumptions!$B$97</f>
        <v>76.201955428571438</v>
      </c>
      <c r="G21" s="44">
        <f>$F$21/$E$21</f>
        <v>1.2167036580098471</v>
      </c>
      <c r="H21" s="45" t="str">
        <f>IF($G$21&gt;=1.4,"CLEAR","BLOCKED")</f>
        <v>BLOCKED</v>
      </c>
    </row>
    <row r="22" spans="1:8" x14ac:dyDescent="0.45">
      <c r="A22" s="8" t="s">
        <v>309</v>
      </c>
      <c r="B22" s="43">
        <v>0.75</v>
      </c>
      <c r="C22" s="22">
        <f>Assumptions!$B$73*$B$22</f>
        <v>671.03399999999999</v>
      </c>
      <c r="D22" s="15">
        <v>0.11</v>
      </c>
      <c r="E22" s="22">
        <f>$C$22*$D$22</f>
        <v>73.813739999999996</v>
      </c>
      <c r="F22" s="22">
        <f>Assumptions!$B$97</f>
        <v>76.201955428571438</v>
      </c>
      <c r="G22" s="44">
        <f>$F$22/$E$22</f>
        <v>1.032354618917446</v>
      </c>
      <c r="H22" s="45" t="str">
        <f>IF($G$22&gt;=1.4,"CLEAR","BLOCKED")</f>
        <v>BLOCKED</v>
      </c>
    </row>
    <row r="23" spans="1:8" x14ac:dyDescent="0.45">
      <c r="A23" s="8" t="s">
        <v>310</v>
      </c>
      <c r="B23" s="43">
        <v>0.8</v>
      </c>
      <c r="C23" s="22">
        <f>Assumptions!$B$73*$B$23</f>
        <v>715.76960000000008</v>
      </c>
      <c r="D23" s="15">
        <v>0.115</v>
      </c>
      <c r="E23" s="22">
        <f>$C$23*$D$23</f>
        <v>82.313504000000009</v>
      </c>
      <c r="F23" s="22">
        <f>Assumptions!$B$97</f>
        <v>76.201955428571438</v>
      </c>
      <c r="G23" s="44">
        <f>$F$23/$E$23</f>
        <v>0.92575278326836175</v>
      </c>
      <c r="H23" s="45" t="str">
        <f>IF($G$23&gt;=1.4,"CLEAR","BLOCKED")</f>
        <v>BLOCKED</v>
      </c>
    </row>
  </sheetData>
  <mergeCells count="5">
    <mergeCell ref="A1:J1"/>
    <mergeCell ref="B12:F12"/>
    <mergeCell ref="A2:J2"/>
    <mergeCell ref="B14:F14"/>
    <mergeCell ref="B13:F1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C3002F"/>
  </sheetPr>
  <dimension ref="A1:J34"/>
  <sheetViews>
    <sheetView workbookViewId="0"/>
  </sheetViews>
  <sheetFormatPr defaultRowHeight="14.25" x14ac:dyDescent="0.45"/>
  <cols>
    <col min="1" max="1" width="42" customWidth="1"/>
    <col min="2" max="2" width="37" customWidth="1"/>
    <col min="3" max="3" width="17" customWidth="1"/>
    <col min="4" max="4" width="23" customWidth="1"/>
    <col min="5" max="5" width="19" customWidth="1"/>
    <col min="6" max="6" width="13" customWidth="1"/>
    <col min="7" max="7" width="15" customWidth="1"/>
    <col min="8" max="10" width="13" customWidth="1"/>
  </cols>
  <sheetData>
    <row r="1" spans="1:10" ht="30" customHeight="1" x14ac:dyDescent="0.45">
      <c r="A1" s="70" t="s">
        <v>311</v>
      </c>
      <c r="B1" s="71"/>
      <c r="C1" s="71"/>
      <c r="D1" s="71"/>
      <c r="E1" s="71"/>
      <c r="F1" s="71"/>
      <c r="G1" s="71"/>
      <c r="H1" s="71"/>
      <c r="I1" s="71"/>
      <c r="J1" s="71"/>
    </row>
    <row r="2" spans="1:10" x14ac:dyDescent="0.45">
      <c r="A2" s="73" t="s">
        <v>312</v>
      </c>
      <c r="B2" s="71"/>
      <c r="C2" s="71"/>
      <c r="D2" s="71"/>
      <c r="E2" s="71"/>
      <c r="F2" s="71"/>
      <c r="G2" s="71"/>
      <c r="H2" s="71"/>
      <c r="I2" s="71"/>
      <c r="J2" s="71"/>
    </row>
    <row r="4" spans="1:10" ht="28.05" customHeight="1" x14ac:dyDescent="0.45">
      <c r="A4" s="1" t="s">
        <v>313</v>
      </c>
      <c r="B4" s="1" t="s">
        <v>314</v>
      </c>
      <c r="C4" s="1" t="s">
        <v>315</v>
      </c>
      <c r="D4" s="1" t="s">
        <v>316</v>
      </c>
      <c r="E4" s="1" t="s">
        <v>317</v>
      </c>
      <c r="F4" s="1" t="s">
        <v>318</v>
      </c>
      <c r="G4" s="1" t="s">
        <v>319</v>
      </c>
      <c r="H4" s="1" t="s">
        <v>320</v>
      </c>
    </row>
    <row r="5" spans="1:10" x14ac:dyDescent="0.45">
      <c r="A5" s="2" t="s">
        <v>321</v>
      </c>
      <c r="B5" s="2" t="s">
        <v>322</v>
      </c>
      <c r="C5" s="22">
        <v>15</v>
      </c>
      <c r="D5" s="22">
        <v>14.2</v>
      </c>
      <c r="E5" s="22">
        <f>$C$5-$D$5</f>
        <v>0.80000000000000071</v>
      </c>
      <c r="F5" s="15">
        <f>IF($C$5=0,0,$E$5/$C$5)</f>
        <v>5.3333333333333378E-2</v>
      </c>
      <c r="G5" s="2" t="s">
        <v>323</v>
      </c>
      <c r="H5" s="2"/>
    </row>
    <row r="6" spans="1:10" x14ac:dyDescent="0.45">
      <c r="A6" s="2" t="s">
        <v>321</v>
      </c>
      <c r="B6" s="2" t="s">
        <v>324</v>
      </c>
      <c r="C6" s="22">
        <v>8</v>
      </c>
      <c r="D6" s="22">
        <v>7.5</v>
      </c>
      <c r="E6" s="22">
        <f>$C$6-$D$6</f>
        <v>0.5</v>
      </c>
      <c r="F6" s="15">
        <f>IF($C$6=0,0,$E$6/$C$6)</f>
        <v>6.25E-2</v>
      </c>
      <c r="G6" s="2" t="s">
        <v>325</v>
      </c>
      <c r="H6" s="2"/>
    </row>
    <row r="7" spans="1:10" x14ac:dyDescent="0.45">
      <c r="A7" s="2" t="s">
        <v>321</v>
      </c>
      <c r="B7" s="2" t="s">
        <v>326</v>
      </c>
      <c r="C7" s="22">
        <v>5</v>
      </c>
      <c r="D7" s="22">
        <v>4.8</v>
      </c>
      <c r="E7" s="22">
        <f>$C$7-$D$7</f>
        <v>0.20000000000000018</v>
      </c>
      <c r="F7" s="15">
        <f>IF($C$7=0,0,$E$7/$C$7)</f>
        <v>4.0000000000000036E-2</v>
      </c>
      <c r="G7" s="2" t="s">
        <v>327</v>
      </c>
      <c r="H7" s="2"/>
    </row>
    <row r="8" spans="1:10" x14ac:dyDescent="0.45">
      <c r="A8" s="2" t="s">
        <v>321</v>
      </c>
      <c r="B8" s="2" t="s">
        <v>328</v>
      </c>
      <c r="C8" s="22">
        <v>12</v>
      </c>
      <c r="D8" s="22">
        <v>11.5</v>
      </c>
      <c r="E8" s="22">
        <f>$C$8-$D$8</f>
        <v>0.5</v>
      </c>
      <c r="F8" s="15">
        <f>IF($C$8=0,0,$E$8/$C$8)</f>
        <v>4.1666666666666664E-2</v>
      </c>
      <c r="G8" s="2" t="s">
        <v>329</v>
      </c>
      <c r="H8" s="2"/>
    </row>
    <row r="9" spans="1:10" x14ac:dyDescent="0.45">
      <c r="A9" s="16"/>
      <c r="B9" s="16" t="s">
        <v>330</v>
      </c>
      <c r="C9" s="46">
        <f>SUM($C$5:$C$8)</f>
        <v>40</v>
      </c>
      <c r="D9" s="46">
        <f>SUM($D$5:$D$8)</f>
        <v>38</v>
      </c>
      <c r="E9" s="47">
        <f>$C$9-$D$9</f>
        <v>2</v>
      </c>
      <c r="F9" s="48">
        <f>IF($C$9=0,0,$E$9/$C$9)</f>
        <v>0.05</v>
      </c>
      <c r="G9" s="17"/>
      <c r="H9" s="17"/>
    </row>
    <row r="10" spans="1:10" x14ac:dyDescent="0.45">
      <c r="A10" s="2"/>
      <c r="B10" s="2"/>
      <c r="G10" s="2"/>
      <c r="H10" s="2"/>
    </row>
    <row r="11" spans="1:10" x14ac:dyDescent="0.45">
      <c r="A11" s="2" t="s">
        <v>331</v>
      </c>
      <c r="B11" s="2" t="s">
        <v>332</v>
      </c>
      <c r="C11" s="22">
        <v>10</v>
      </c>
      <c r="D11" s="22">
        <v>9.8000000000000007</v>
      </c>
      <c r="E11" s="22">
        <f>$C$11-$D$11</f>
        <v>0.19999999999999929</v>
      </c>
      <c r="F11" s="15">
        <f>IF($C$11=0,0,$E$11/$C$11)</f>
        <v>1.9999999999999928E-2</v>
      </c>
      <c r="G11" s="2" t="s">
        <v>333</v>
      </c>
      <c r="H11" s="2"/>
    </row>
    <row r="12" spans="1:10" x14ac:dyDescent="0.45">
      <c r="A12" s="2" t="s">
        <v>331</v>
      </c>
      <c r="B12" s="2" t="s">
        <v>334</v>
      </c>
      <c r="C12" s="22">
        <v>18</v>
      </c>
      <c r="D12" s="22">
        <v>12</v>
      </c>
      <c r="E12" s="22">
        <f>$C$12-$D$12</f>
        <v>6</v>
      </c>
      <c r="F12" s="15">
        <f>IF($C$12=0,0,$E$12/$C$12)</f>
        <v>0.33333333333333331</v>
      </c>
      <c r="G12" s="2" t="s">
        <v>335</v>
      </c>
      <c r="H12" s="2"/>
    </row>
    <row r="13" spans="1:10" x14ac:dyDescent="0.45">
      <c r="A13" s="2" t="s">
        <v>331</v>
      </c>
      <c r="B13" s="2" t="s">
        <v>336</v>
      </c>
      <c r="C13" s="22">
        <v>25</v>
      </c>
      <c r="D13" s="22">
        <v>15</v>
      </c>
      <c r="E13" s="22">
        <f>$C$13-$D$13</f>
        <v>10</v>
      </c>
      <c r="F13" s="15">
        <f>IF($C$13=0,0,$E$13/$C$13)</f>
        <v>0.4</v>
      </c>
      <c r="G13" s="2" t="s">
        <v>337</v>
      </c>
      <c r="H13" s="2"/>
    </row>
    <row r="14" spans="1:10" x14ac:dyDescent="0.45">
      <c r="A14" s="2" t="s">
        <v>331</v>
      </c>
      <c r="B14" s="2" t="s">
        <v>338</v>
      </c>
      <c r="C14" s="22">
        <v>85</v>
      </c>
      <c r="D14" s="22">
        <v>45</v>
      </c>
      <c r="E14" s="22">
        <f>$C$14-$D$14</f>
        <v>40</v>
      </c>
      <c r="F14" s="15">
        <f>IF($C$14=0,0,$E$14/$C$14)</f>
        <v>0.47058823529411764</v>
      </c>
      <c r="G14" s="2" t="s">
        <v>339</v>
      </c>
      <c r="H14" s="2"/>
    </row>
    <row r="15" spans="1:10" x14ac:dyDescent="0.45">
      <c r="A15" s="2" t="s">
        <v>331</v>
      </c>
      <c r="B15" s="2" t="s">
        <v>340</v>
      </c>
      <c r="C15" s="22">
        <v>30</v>
      </c>
      <c r="D15" s="22">
        <v>0</v>
      </c>
      <c r="E15" s="22">
        <f>$C$15-$D$15</f>
        <v>30</v>
      </c>
      <c r="F15" s="15">
        <f>IF($C$15=0,0,$E$15/$C$15)</f>
        <v>1</v>
      </c>
      <c r="G15" s="2" t="s">
        <v>341</v>
      </c>
      <c r="H15" s="2"/>
    </row>
    <row r="16" spans="1:10" x14ac:dyDescent="0.45">
      <c r="A16" s="2" t="s">
        <v>331</v>
      </c>
      <c r="B16" s="2" t="s">
        <v>342</v>
      </c>
      <c r="C16" s="22">
        <v>5</v>
      </c>
      <c r="D16" s="22">
        <v>4.5</v>
      </c>
      <c r="E16" s="22">
        <f>$C$16-$D$16</f>
        <v>0.5</v>
      </c>
      <c r="F16" s="15">
        <f>IF($C$16=0,0,$E$16/$C$16)</f>
        <v>0.1</v>
      </c>
      <c r="G16" s="2" t="s">
        <v>329</v>
      </c>
      <c r="H16" s="2"/>
    </row>
    <row r="17" spans="1:8" x14ac:dyDescent="0.45">
      <c r="A17" s="16"/>
      <c r="B17" s="16" t="s">
        <v>343</v>
      </c>
      <c r="C17" s="46">
        <f>SUM($C$11:$C$16)</f>
        <v>173</v>
      </c>
      <c r="D17" s="46">
        <f>SUM($D$11:$D$16)</f>
        <v>86.3</v>
      </c>
      <c r="E17" s="47">
        <f>$C$17-$D$17</f>
        <v>86.7</v>
      </c>
      <c r="F17" s="48">
        <f>IF($C$17=0,0,$E$17/$C$17)</f>
        <v>0.5011560693641619</v>
      </c>
      <c r="G17" s="17"/>
      <c r="H17" s="17"/>
    </row>
    <row r="18" spans="1:8" x14ac:dyDescent="0.45">
      <c r="A18" s="2"/>
      <c r="B18" s="2"/>
      <c r="G18" s="2"/>
      <c r="H18" s="2"/>
    </row>
    <row r="19" spans="1:8" x14ac:dyDescent="0.45">
      <c r="A19" s="2" t="s">
        <v>344</v>
      </c>
      <c r="B19" s="2" t="s">
        <v>345</v>
      </c>
      <c r="C19" s="22">
        <v>35</v>
      </c>
      <c r="D19" s="22">
        <v>0</v>
      </c>
      <c r="E19" s="22">
        <f>$C$19-$D$19</f>
        <v>35</v>
      </c>
      <c r="F19" s="15">
        <f>IF($C$19=0,0,$E$19/$C$19)</f>
        <v>1</v>
      </c>
      <c r="G19" s="2" t="s">
        <v>346</v>
      </c>
      <c r="H19" s="2"/>
    </row>
    <row r="20" spans="1:8" x14ac:dyDescent="0.45">
      <c r="A20" s="2" t="s">
        <v>344</v>
      </c>
      <c r="B20" s="2" t="s">
        <v>347</v>
      </c>
      <c r="C20" s="22">
        <v>12</v>
      </c>
      <c r="D20" s="22">
        <v>0</v>
      </c>
      <c r="E20" s="22">
        <f>$C$20-$D$20</f>
        <v>12</v>
      </c>
      <c r="F20" s="15">
        <f>IF($C$20=0,0,$E$20/$C$20)</f>
        <v>1</v>
      </c>
      <c r="G20" s="2" t="s">
        <v>335</v>
      </c>
      <c r="H20" s="2"/>
    </row>
    <row r="21" spans="1:8" x14ac:dyDescent="0.45">
      <c r="A21" s="2" t="s">
        <v>344</v>
      </c>
      <c r="B21" s="2" t="s">
        <v>348</v>
      </c>
      <c r="C21" s="22">
        <v>45</v>
      </c>
      <c r="D21" s="22">
        <v>0</v>
      </c>
      <c r="E21" s="22">
        <f>$C$21-$D$21</f>
        <v>45</v>
      </c>
      <c r="F21" s="15">
        <f>IF($C$21=0,0,$E$21/$C$21)</f>
        <v>1</v>
      </c>
      <c r="G21" s="2" t="s">
        <v>349</v>
      </c>
      <c r="H21" s="2"/>
    </row>
    <row r="22" spans="1:8" x14ac:dyDescent="0.45">
      <c r="A22" s="2" t="s">
        <v>344</v>
      </c>
      <c r="B22" s="2" t="s">
        <v>350</v>
      </c>
      <c r="C22" s="22">
        <v>20</v>
      </c>
      <c r="D22" s="22">
        <v>0</v>
      </c>
      <c r="E22" s="22">
        <f>$C$22-$D$22</f>
        <v>20</v>
      </c>
      <c r="F22" s="15">
        <f>IF($C$22=0,0,$E$22/$C$22)</f>
        <v>1</v>
      </c>
      <c r="G22" s="2" t="s">
        <v>337</v>
      </c>
      <c r="H22" s="2"/>
    </row>
    <row r="23" spans="1:8" x14ac:dyDescent="0.45">
      <c r="A23" s="16"/>
      <c r="B23" s="16" t="s">
        <v>351</v>
      </c>
      <c r="C23" s="46">
        <f>SUM($C$19:$C$22)</f>
        <v>112</v>
      </c>
      <c r="D23" s="46">
        <f>SUM($D$19:$D$22)</f>
        <v>0</v>
      </c>
      <c r="E23" s="47">
        <f>$C$23-$D$23</f>
        <v>112</v>
      </c>
      <c r="F23" s="48">
        <f>IF($C$23=0,0,$E$23/$C$23)</f>
        <v>1</v>
      </c>
      <c r="G23" s="17"/>
      <c r="H23" s="17"/>
    </row>
    <row r="24" spans="1:8" x14ac:dyDescent="0.45">
      <c r="A24" s="2"/>
      <c r="B24" s="2"/>
      <c r="G24" s="2"/>
      <c r="H24" s="2"/>
    </row>
    <row r="25" spans="1:8" x14ac:dyDescent="0.45">
      <c r="A25" s="2" t="s">
        <v>352</v>
      </c>
      <c r="B25" s="2" t="s">
        <v>353</v>
      </c>
      <c r="C25" s="22">
        <v>180</v>
      </c>
      <c r="D25" s="22">
        <v>0</v>
      </c>
      <c r="E25" s="22">
        <f>$C$25-$D$25</f>
        <v>180</v>
      </c>
      <c r="F25" s="15">
        <f>IF($C$25=0,0,$E$25/$C$25)</f>
        <v>1</v>
      </c>
      <c r="G25" s="2" t="s">
        <v>354</v>
      </c>
      <c r="H25" s="2"/>
    </row>
    <row r="26" spans="1:8" x14ac:dyDescent="0.45">
      <c r="A26" s="2" t="s">
        <v>352</v>
      </c>
      <c r="B26" s="2" t="s">
        <v>355</v>
      </c>
      <c r="C26" s="22">
        <v>80</v>
      </c>
      <c r="D26" s="22">
        <v>0</v>
      </c>
      <c r="E26" s="22">
        <f>$C$26-$D$26</f>
        <v>80</v>
      </c>
      <c r="F26" s="15">
        <f>IF($C$26=0,0,$E$26/$C$26)</f>
        <v>1</v>
      </c>
      <c r="G26" s="2" t="s">
        <v>356</v>
      </c>
      <c r="H26" s="2"/>
    </row>
    <row r="27" spans="1:8" x14ac:dyDescent="0.45">
      <c r="A27" s="2" t="s">
        <v>352</v>
      </c>
      <c r="B27" s="2" t="s">
        <v>357</v>
      </c>
      <c r="C27" s="22">
        <v>15</v>
      </c>
      <c r="D27" s="22">
        <v>0</v>
      </c>
      <c r="E27" s="22">
        <f>$C$27-$D$27</f>
        <v>15</v>
      </c>
      <c r="F27" s="15">
        <f>IF($C$27=0,0,$E$27/$C$27)</f>
        <v>1</v>
      </c>
      <c r="G27" s="2" t="s">
        <v>335</v>
      </c>
      <c r="H27" s="2"/>
    </row>
    <row r="28" spans="1:8" x14ac:dyDescent="0.45">
      <c r="A28" s="2" t="s">
        <v>352</v>
      </c>
      <c r="B28" s="2" t="s">
        <v>358</v>
      </c>
      <c r="C28" s="22">
        <v>8</v>
      </c>
      <c r="D28" s="22">
        <v>0</v>
      </c>
      <c r="E28" s="22">
        <f>$C$28-$D$28</f>
        <v>8</v>
      </c>
      <c r="F28" s="15">
        <f>IF($C$28=0,0,$E$28/$C$28)</f>
        <v>1</v>
      </c>
      <c r="G28" s="2" t="s">
        <v>359</v>
      </c>
      <c r="H28" s="2"/>
    </row>
    <row r="29" spans="1:8" x14ac:dyDescent="0.45">
      <c r="A29" s="2" t="s">
        <v>352</v>
      </c>
      <c r="B29" s="2" t="s">
        <v>360</v>
      </c>
      <c r="C29" s="22">
        <v>350</v>
      </c>
      <c r="D29" s="22">
        <v>0</v>
      </c>
      <c r="E29" s="22">
        <f>$C$29-$D$29</f>
        <v>350</v>
      </c>
      <c r="F29" s="15">
        <f>IF($C$29=0,0,$E$29/$C$29)</f>
        <v>1</v>
      </c>
      <c r="G29" s="2" t="s">
        <v>337</v>
      </c>
      <c r="H29" s="2"/>
    </row>
    <row r="30" spans="1:8" x14ac:dyDescent="0.45">
      <c r="A30" s="2" t="s">
        <v>352</v>
      </c>
      <c r="B30" s="2" t="s">
        <v>361</v>
      </c>
      <c r="C30" s="22">
        <v>120</v>
      </c>
      <c r="D30" s="22">
        <v>0</v>
      </c>
      <c r="E30" s="22">
        <f>$C$30-$D$30</f>
        <v>120</v>
      </c>
      <c r="F30" s="15">
        <f>IF($C$30=0,0,$E$30/$C$30)</f>
        <v>1</v>
      </c>
      <c r="G30" s="2" t="s">
        <v>362</v>
      </c>
      <c r="H30" s="2"/>
    </row>
    <row r="31" spans="1:8" x14ac:dyDescent="0.45">
      <c r="A31" s="2" t="s">
        <v>352</v>
      </c>
      <c r="B31" s="2" t="s">
        <v>363</v>
      </c>
      <c r="C31" s="22">
        <v>25</v>
      </c>
      <c r="D31" s="22">
        <v>0</v>
      </c>
      <c r="E31" s="22">
        <f>$C$31-$D$31</f>
        <v>25</v>
      </c>
      <c r="F31" s="15">
        <f>IF($C$31=0,0,$E$31/$C$31)</f>
        <v>1</v>
      </c>
      <c r="G31" s="2" t="s">
        <v>364</v>
      </c>
      <c r="H31" s="2"/>
    </row>
    <row r="32" spans="1:8" x14ac:dyDescent="0.45">
      <c r="A32" s="16"/>
      <c r="B32" s="16" t="s">
        <v>365</v>
      </c>
      <c r="C32" s="46">
        <f>SUM($C$25:$C$31)</f>
        <v>778</v>
      </c>
      <c r="D32" s="46">
        <f>SUM($D$25:$D$31)</f>
        <v>0</v>
      </c>
      <c r="E32" s="47">
        <f>$C$32-$D$32</f>
        <v>778</v>
      </c>
      <c r="F32" s="48">
        <f>IF($C$32=0,0,$E$32/$C$32)</f>
        <v>1</v>
      </c>
      <c r="G32" s="17"/>
      <c r="H32" s="17"/>
    </row>
    <row r="33" spans="1:8" x14ac:dyDescent="0.45">
      <c r="A33" s="2"/>
      <c r="B33" s="2"/>
      <c r="G33" s="2"/>
      <c r="H33" s="2"/>
    </row>
    <row r="34" spans="1:8" x14ac:dyDescent="0.45">
      <c r="A34" s="16"/>
      <c r="B34" s="16" t="s">
        <v>366</v>
      </c>
      <c r="C34" s="46">
        <f>$C$9+$C$17+$C$23+$C$32</f>
        <v>1103</v>
      </c>
      <c r="D34" s="46">
        <f>$D$9+$D$17+$D$23+$D$32</f>
        <v>124.3</v>
      </c>
      <c r="E34" s="47">
        <f>$C$34-$D$34</f>
        <v>978.7</v>
      </c>
      <c r="F34" s="48">
        <f>IF($C$34=0,0,$E$34/$C$34)</f>
        <v>0.88730734360834096</v>
      </c>
      <c r="G34" s="17"/>
      <c r="H34" s="17"/>
    </row>
  </sheetData>
  <mergeCells count="2">
    <mergeCell ref="A1:J1"/>
    <mergeCell ref="A2:J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D97706"/>
  </sheetPr>
  <dimension ref="A1:J24"/>
  <sheetViews>
    <sheetView workbookViewId="0"/>
  </sheetViews>
  <sheetFormatPr defaultRowHeight="14.25" x14ac:dyDescent="0.45"/>
  <cols>
    <col min="1" max="1" width="42" customWidth="1"/>
    <col min="2" max="2" width="25" customWidth="1"/>
    <col min="3" max="3" width="15" customWidth="1"/>
    <col min="4" max="4" width="17" customWidth="1"/>
    <col min="5" max="5" width="19" customWidth="1"/>
    <col min="6" max="6" width="13" customWidth="1"/>
    <col min="7" max="7" width="23" customWidth="1"/>
    <col min="8" max="8" width="26" customWidth="1"/>
    <col min="9" max="10" width="13" customWidth="1"/>
  </cols>
  <sheetData>
    <row r="1" spans="1:10" ht="30" customHeight="1" x14ac:dyDescent="0.45">
      <c r="A1" s="70" t="s">
        <v>367</v>
      </c>
      <c r="B1" s="71"/>
      <c r="C1" s="71"/>
      <c r="D1" s="71"/>
      <c r="E1" s="71"/>
      <c r="F1" s="71"/>
      <c r="G1" s="71"/>
      <c r="H1" s="71"/>
      <c r="I1" s="71"/>
      <c r="J1" s="71"/>
    </row>
    <row r="2" spans="1:10" x14ac:dyDescent="0.45">
      <c r="A2" s="73" t="s">
        <v>368</v>
      </c>
      <c r="B2" s="71"/>
      <c r="C2" s="71"/>
      <c r="D2" s="71"/>
      <c r="E2" s="71"/>
      <c r="F2" s="71"/>
      <c r="G2" s="71"/>
      <c r="H2" s="71"/>
      <c r="I2" s="71"/>
      <c r="J2" s="71"/>
    </row>
    <row r="4" spans="1:10" ht="28.05" customHeight="1" x14ac:dyDescent="0.45">
      <c r="A4" s="49" t="s">
        <v>369</v>
      </c>
      <c r="B4" s="49" t="s">
        <v>370</v>
      </c>
      <c r="C4" s="49" t="s">
        <v>371</v>
      </c>
      <c r="D4" s="49" t="s">
        <v>372</v>
      </c>
      <c r="E4" s="49" t="s">
        <v>373</v>
      </c>
      <c r="F4" s="49" t="s">
        <v>374</v>
      </c>
      <c r="G4" s="49" t="s">
        <v>375</v>
      </c>
      <c r="H4" s="49" t="s">
        <v>376</v>
      </c>
      <c r="I4" s="49" t="s">
        <v>377</v>
      </c>
    </row>
    <row r="5" spans="1:10" x14ac:dyDescent="0.45">
      <c r="A5" s="8" t="s">
        <v>378</v>
      </c>
      <c r="B5" s="22">
        <v>12</v>
      </c>
      <c r="C5" s="3">
        <v>800</v>
      </c>
      <c r="D5" s="3">
        <v>48</v>
      </c>
      <c r="E5" s="3">
        <v>8</v>
      </c>
      <c r="F5" s="3">
        <f>IF($C$5=0,0,$B$5*100000/$C$5)</f>
        <v>1500</v>
      </c>
      <c r="G5" s="6">
        <f>IF($E$5=0,0,$B$5/$E$5)</f>
        <v>1.5</v>
      </c>
      <c r="H5" s="22">
        <f>$E$5*Assumptions!$B$76</f>
        <v>13.206081180811807</v>
      </c>
      <c r="I5" s="50">
        <f>IF($B$5=0,0,$H$5*100/$B$5)</f>
        <v>110.05067650676506</v>
      </c>
    </row>
    <row r="6" spans="1:10" x14ac:dyDescent="0.45">
      <c r="A6" s="8" t="s">
        <v>379</v>
      </c>
      <c r="B6" s="22">
        <v>8</v>
      </c>
      <c r="C6" s="3">
        <v>1200</v>
      </c>
      <c r="D6" s="3">
        <v>36</v>
      </c>
      <c r="E6" s="3">
        <v>5</v>
      </c>
      <c r="F6" s="3">
        <f>IF($C$6=0,0,$B$6*100000/$C$6)</f>
        <v>666.66666666666663</v>
      </c>
      <c r="G6" s="6">
        <f>IF($E$6=0,0,$B$6/$E$6)</f>
        <v>1.6</v>
      </c>
      <c r="H6" s="22">
        <f>$E$6*Assumptions!$B$76</f>
        <v>8.2538007380073797</v>
      </c>
      <c r="I6" s="50">
        <f>IF($B$6=0,0,$H$6*100/$B$6)</f>
        <v>103.17250922509224</v>
      </c>
    </row>
    <row r="7" spans="1:10" x14ac:dyDescent="0.45">
      <c r="A7" s="8" t="s">
        <v>380</v>
      </c>
      <c r="B7" s="22">
        <v>5</v>
      </c>
      <c r="C7" s="3">
        <v>2000</v>
      </c>
      <c r="D7" s="3">
        <v>20</v>
      </c>
      <c r="E7" s="3">
        <v>3</v>
      </c>
      <c r="F7" s="3">
        <f>IF($C$7=0,0,$B$7*100000/$C$7)</f>
        <v>250</v>
      </c>
      <c r="G7" s="6">
        <f>IF($E$7=0,0,$B$7/$E$7)</f>
        <v>1.6666666666666667</v>
      </c>
      <c r="H7" s="22">
        <f>$E$7*Assumptions!$B$76</f>
        <v>4.9522804428044278</v>
      </c>
      <c r="I7" s="50">
        <f>IF($B$7=0,0,$H$7*100/$B$7)</f>
        <v>99.045608856088549</v>
      </c>
    </row>
    <row r="8" spans="1:10" x14ac:dyDescent="0.45">
      <c r="A8" s="8" t="s">
        <v>381</v>
      </c>
      <c r="B8" s="22">
        <v>15</v>
      </c>
      <c r="C8" s="3">
        <v>300</v>
      </c>
      <c r="D8" s="3">
        <v>90</v>
      </c>
      <c r="E8" s="3">
        <v>12</v>
      </c>
      <c r="F8" s="3">
        <f>IF($C$8=0,0,$B$8*100000/$C$8)</f>
        <v>5000</v>
      </c>
      <c r="G8" s="6">
        <f>IF($E$8=0,0,$B$8/$E$8)</f>
        <v>1.25</v>
      </c>
      <c r="H8" s="22">
        <f>$E$8*Assumptions!$B$76</f>
        <v>19.809121771217711</v>
      </c>
      <c r="I8" s="50">
        <f>IF($B$8=0,0,$H$8*100/$B$8)</f>
        <v>132.06081180811807</v>
      </c>
    </row>
    <row r="9" spans="1:10" x14ac:dyDescent="0.45">
      <c r="A9" s="8" t="s">
        <v>382</v>
      </c>
      <c r="B9" s="22">
        <v>2</v>
      </c>
      <c r="C9" s="3">
        <v>400</v>
      </c>
      <c r="D9" s="3">
        <v>60</v>
      </c>
      <c r="E9" s="3">
        <v>6</v>
      </c>
      <c r="F9" s="3">
        <f>IF($C$9=0,0,$B$9*100000/$C$9)</f>
        <v>500</v>
      </c>
      <c r="G9" s="6">
        <f>IF($E$9=0,0,$B$9/$E$9)</f>
        <v>0.33333333333333331</v>
      </c>
      <c r="H9" s="22">
        <f>$E$9*Assumptions!$B$76</f>
        <v>9.9045608856088556</v>
      </c>
      <c r="I9" s="50">
        <f>IF($B$9=0,0,$H$9*100/$B$9)</f>
        <v>495.22804428044276</v>
      </c>
    </row>
    <row r="10" spans="1:10" x14ac:dyDescent="0.45">
      <c r="A10" s="8" t="s">
        <v>383</v>
      </c>
      <c r="B10" s="22">
        <v>1.5</v>
      </c>
      <c r="C10" s="3">
        <v>150</v>
      </c>
      <c r="D10" s="3">
        <v>25</v>
      </c>
      <c r="E10" s="3">
        <v>3</v>
      </c>
      <c r="F10" s="3">
        <f>IF($C$10=0,0,$B$10*100000/$C$10)</f>
        <v>1000</v>
      </c>
      <c r="G10" s="6">
        <f>IF($E$10=0,0,$B$10/$E$10)</f>
        <v>0.5</v>
      </c>
      <c r="H10" s="22">
        <f>$E$10*Assumptions!$B$76</f>
        <v>4.9522804428044278</v>
      </c>
      <c r="I10" s="50">
        <f>IF($B$10=0,0,$H$10*100/$B$10)</f>
        <v>330.15202952029517</v>
      </c>
    </row>
    <row r="11" spans="1:10" x14ac:dyDescent="0.45">
      <c r="A11" s="8" t="s">
        <v>384</v>
      </c>
      <c r="B11" s="22">
        <v>6</v>
      </c>
      <c r="C11" s="3">
        <v>500</v>
      </c>
      <c r="D11" s="3">
        <v>15</v>
      </c>
      <c r="E11" s="3">
        <v>2</v>
      </c>
      <c r="F11" s="3">
        <f>IF($C$11=0,0,$B$11*100000/$C$11)</f>
        <v>1200</v>
      </c>
      <c r="G11" s="6">
        <f>IF($E$11=0,0,$B$11/$E$11)</f>
        <v>3</v>
      </c>
      <c r="H11" s="22">
        <f>$E$11*Assumptions!$B$76</f>
        <v>3.3015202952029519</v>
      </c>
      <c r="I11" s="50">
        <f>IF($B$11=0,0,$H$11*100/$B$11)</f>
        <v>55.025338253382529</v>
      </c>
    </row>
    <row r="12" spans="1:10" x14ac:dyDescent="0.45">
      <c r="A12" s="8" t="s">
        <v>385</v>
      </c>
      <c r="B12" s="22">
        <v>1</v>
      </c>
      <c r="C12" s="3">
        <v>50</v>
      </c>
      <c r="D12" s="3">
        <v>15</v>
      </c>
      <c r="E12" s="3">
        <v>2</v>
      </c>
      <c r="F12" s="3">
        <f>IF($C$12=0,0,$B$12*100000/$C$12)</f>
        <v>2000</v>
      </c>
      <c r="G12" s="6">
        <f>IF($E$12=0,0,$B$12/$E$12)</f>
        <v>0.5</v>
      </c>
      <c r="H12" s="22">
        <f>$E$12*Assumptions!$B$76</f>
        <v>3.3015202952029519</v>
      </c>
      <c r="I12" s="50">
        <f>IF($B$12=0,0,$H$12*100/$B$12)</f>
        <v>330.15202952029517</v>
      </c>
    </row>
    <row r="13" spans="1:10" x14ac:dyDescent="0.45">
      <c r="A13" s="16" t="s">
        <v>386</v>
      </c>
      <c r="B13" s="46">
        <f>SUM($B$5:$B$12)</f>
        <v>50.5</v>
      </c>
      <c r="C13" s="18">
        <f>SUM($C$5:$C$12)</f>
        <v>5400</v>
      </c>
      <c r="D13" s="18">
        <f>SUM($D$5:$D$12)</f>
        <v>309</v>
      </c>
      <c r="E13" s="18">
        <f>SUM($E$5:$E$12)</f>
        <v>41</v>
      </c>
      <c r="F13" s="18">
        <f>IF($C$13=0,0,$B$13*100000/$C$13)</f>
        <v>935.18518518518522</v>
      </c>
      <c r="G13" s="19">
        <f>IF($E$13=0,0,$B$13/$E$13)</f>
        <v>1.2317073170731707</v>
      </c>
      <c r="H13" s="46">
        <f>SUM($H$5:$H$12)</f>
        <v>67.681166051660512</v>
      </c>
      <c r="I13" s="51">
        <f>IF($B$13=0,0,$H$13*100/$B$13)</f>
        <v>134.02211099338714</v>
      </c>
    </row>
    <row r="15" spans="1:10" ht="16.899999999999999" x14ac:dyDescent="0.5">
      <c r="A15" s="21" t="s">
        <v>387</v>
      </c>
    </row>
    <row r="16" spans="1:10" ht="28.05" customHeight="1" x14ac:dyDescent="0.45">
      <c r="A16" s="1" t="s">
        <v>388</v>
      </c>
      <c r="B16" s="1" t="s">
        <v>389</v>
      </c>
      <c r="C16" s="1" t="s">
        <v>390</v>
      </c>
      <c r="D16" s="1" t="s">
        <v>391</v>
      </c>
      <c r="E16" s="1" t="s">
        <v>392</v>
      </c>
    </row>
    <row r="17" spans="1:5" x14ac:dyDescent="0.45">
      <c r="A17" s="8" t="s">
        <v>393</v>
      </c>
      <c r="B17" s="3">
        <v>5000000</v>
      </c>
      <c r="C17" s="2" t="s">
        <v>394</v>
      </c>
      <c r="D17" s="2" t="s">
        <v>394</v>
      </c>
      <c r="E17" s="52">
        <v>1</v>
      </c>
    </row>
    <row r="18" spans="1:5" x14ac:dyDescent="0.45">
      <c r="A18" s="8" t="s">
        <v>395</v>
      </c>
      <c r="B18" s="3">
        <v>75000</v>
      </c>
      <c r="C18" s="15">
        <f>$B$18/$B$17</f>
        <v>1.4999999999999999E-2</v>
      </c>
      <c r="D18" s="15">
        <f>1-$C$18</f>
        <v>0.98499999999999999</v>
      </c>
      <c r="E18" s="52">
        <f>$B$18/$B$17</f>
        <v>1.4999999999999999E-2</v>
      </c>
    </row>
    <row r="19" spans="1:5" x14ac:dyDescent="0.45">
      <c r="A19" s="8" t="s">
        <v>396</v>
      </c>
      <c r="B19" s="3">
        <v>5400</v>
      </c>
      <c r="C19" s="15">
        <f>$B$19/$B$18</f>
        <v>7.1999999999999995E-2</v>
      </c>
      <c r="D19" s="15">
        <f>1-$C$19</f>
        <v>0.92800000000000005</v>
      </c>
      <c r="E19" s="52">
        <f>$B$19/$B$17</f>
        <v>1.08E-3</v>
      </c>
    </row>
    <row r="20" spans="1:5" x14ac:dyDescent="0.45">
      <c r="A20" s="8" t="s">
        <v>397</v>
      </c>
      <c r="B20" s="3">
        <v>2700</v>
      </c>
      <c r="C20" s="15">
        <f>$B$20/$B$19</f>
        <v>0.5</v>
      </c>
      <c r="D20" s="15">
        <f>1-$C$20</f>
        <v>0.5</v>
      </c>
      <c r="E20" s="52">
        <f>$B$20/$B$17</f>
        <v>5.4000000000000001E-4</v>
      </c>
    </row>
    <row r="21" spans="1:5" x14ac:dyDescent="0.45">
      <c r="A21" s="8" t="s">
        <v>398</v>
      </c>
      <c r="B21" s="3">
        <v>810</v>
      </c>
      <c r="C21" s="15">
        <f>$B$21/$B$20</f>
        <v>0.3</v>
      </c>
      <c r="D21" s="15">
        <f>1-$C$21</f>
        <v>0.7</v>
      </c>
      <c r="E21" s="52">
        <f>$B$21/$B$17</f>
        <v>1.6200000000000001E-4</v>
      </c>
    </row>
    <row r="22" spans="1:5" x14ac:dyDescent="0.45">
      <c r="A22" s="8" t="s">
        <v>399</v>
      </c>
      <c r="B22" s="3">
        <v>450</v>
      </c>
      <c r="C22" s="15">
        <f>$B$22/$B$21</f>
        <v>0.55555555555555558</v>
      </c>
      <c r="D22" s="15">
        <f>1-$C$22</f>
        <v>0.44444444444444442</v>
      </c>
      <c r="E22" s="52">
        <f>$B$22/$B$17</f>
        <v>9.0000000000000006E-5</v>
      </c>
    </row>
    <row r="23" spans="1:5" x14ac:dyDescent="0.45">
      <c r="A23" s="8" t="s">
        <v>400</v>
      </c>
      <c r="B23" s="3">
        <v>135</v>
      </c>
      <c r="C23" s="15">
        <f>$B$23/$B$22</f>
        <v>0.3</v>
      </c>
      <c r="D23" s="15">
        <f>1-$C$23</f>
        <v>0.7</v>
      </c>
      <c r="E23" s="52">
        <f>$B$23/$B$17</f>
        <v>2.6999999999999999E-5</v>
      </c>
    </row>
    <row r="24" spans="1:5" x14ac:dyDescent="0.45">
      <c r="A24" s="8" t="s">
        <v>401</v>
      </c>
      <c r="B24" s="3">
        <v>41</v>
      </c>
      <c r="C24" s="15">
        <f>$B$24/$B$23</f>
        <v>0.3037037037037037</v>
      </c>
      <c r="D24" s="15">
        <f>1-$C$24</f>
        <v>0.6962962962962963</v>
      </c>
      <c r="E24" s="52">
        <f>$B$24/$B$17</f>
        <v>8.1999999999999994E-6</v>
      </c>
    </row>
  </sheetData>
  <mergeCells count="2">
    <mergeCell ref="A1:J1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7C3AED"/>
  </sheetPr>
  <dimension ref="A1:J23"/>
  <sheetViews>
    <sheetView workbookViewId="0"/>
  </sheetViews>
  <sheetFormatPr defaultRowHeight="14.25" x14ac:dyDescent="0.45"/>
  <cols>
    <col min="1" max="1" width="42" customWidth="1"/>
    <col min="2" max="4" width="14" customWidth="1"/>
    <col min="5" max="5" width="16" customWidth="1"/>
    <col min="6" max="10" width="13" customWidth="1"/>
  </cols>
  <sheetData>
    <row r="1" spans="1:10" ht="30" customHeight="1" x14ac:dyDescent="0.45">
      <c r="A1" s="70" t="s">
        <v>402</v>
      </c>
      <c r="B1" s="71"/>
      <c r="C1" s="71"/>
      <c r="D1" s="71"/>
      <c r="E1" s="71"/>
      <c r="F1" s="71"/>
      <c r="G1" s="71"/>
      <c r="H1" s="71"/>
      <c r="I1" s="71"/>
      <c r="J1" s="71"/>
    </row>
    <row r="2" spans="1:10" x14ac:dyDescent="0.45">
      <c r="A2" s="73" t="s">
        <v>403</v>
      </c>
      <c r="B2" s="71"/>
      <c r="C2" s="71"/>
      <c r="D2" s="71"/>
      <c r="E2" s="71"/>
      <c r="F2" s="71"/>
      <c r="G2" s="71"/>
      <c r="H2" s="71"/>
      <c r="I2" s="71"/>
      <c r="J2" s="71"/>
    </row>
    <row r="4" spans="1:10" ht="15.75" x14ac:dyDescent="0.5">
      <c r="A4" s="75" t="s">
        <v>404</v>
      </c>
      <c r="B4" s="71"/>
      <c r="C4" s="71"/>
      <c r="D4" s="71"/>
      <c r="E4" s="71"/>
      <c r="F4" s="71"/>
      <c r="G4" s="71"/>
    </row>
    <row r="5" spans="1:10" ht="28.05" customHeight="1" x14ac:dyDescent="0.45">
      <c r="A5" s="53" t="s">
        <v>3</v>
      </c>
      <c r="B5" s="53" t="s">
        <v>405</v>
      </c>
      <c r="C5" s="53" t="s">
        <v>406</v>
      </c>
      <c r="D5" s="53" t="s">
        <v>407</v>
      </c>
      <c r="E5" s="53" t="s">
        <v>408</v>
      </c>
    </row>
    <row r="6" spans="1:10" x14ac:dyDescent="0.45">
      <c r="A6" s="8" t="s">
        <v>409</v>
      </c>
      <c r="B6" s="54">
        <v>0.85</v>
      </c>
      <c r="C6" s="55">
        <v>1</v>
      </c>
      <c r="D6" s="56">
        <v>1.1200000000000001</v>
      </c>
      <c r="E6" s="57">
        <v>0.78</v>
      </c>
    </row>
    <row r="7" spans="1:10" x14ac:dyDescent="0.45">
      <c r="A7" s="8" t="s">
        <v>410</v>
      </c>
      <c r="B7" s="54">
        <v>0.67</v>
      </c>
      <c r="C7" s="55">
        <v>1</v>
      </c>
      <c r="D7" s="56">
        <v>1.5</v>
      </c>
      <c r="E7" s="57">
        <v>0.5</v>
      </c>
    </row>
    <row r="8" spans="1:10" x14ac:dyDescent="0.45">
      <c r="A8" s="8" t="s">
        <v>411</v>
      </c>
      <c r="B8" s="54">
        <v>1.1499999999999999</v>
      </c>
      <c r="C8" s="55">
        <v>1</v>
      </c>
      <c r="D8" s="56">
        <v>0.9</v>
      </c>
      <c r="E8" s="57">
        <v>1.25</v>
      </c>
    </row>
    <row r="9" spans="1:10" x14ac:dyDescent="0.45">
      <c r="A9" s="8" t="s">
        <v>412</v>
      </c>
      <c r="B9" s="54">
        <v>1.1000000000000001</v>
      </c>
      <c r="C9" s="55">
        <v>1</v>
      </c>
      <c r="D9" s="56">
        <v>0.9</v>
      </c>
      <c r="E9" s="57">
        <v>1.25</v>
      </c>
    </row>
    <row r="10" spans="1:10" x14ac:dyDescent="0.45">
      <c r="A10" s="8" t="s">
        <v>413</v>
      </c>
      <c r="B10" s="54">
        <v>1.2</v>
      </c>
      <c r="C10" s="55">
        <v>1</v>
      </c>
      <c r="D10" s="56">
        <v>0.8</v>
      </c>
      <c r="E10" s="57">
        <v>1.4</v>
      </c>
    </row>
    <row r="12" spans="1:10" ht="16.899999999999999" x14ac:dyDescent="0.5">
      <c r="A12" s="21" t="s">
        <v>414</v>
      </c>
    </row>
    <row r="13" spans="1:10" ht="28.05" customHeight="1" x14ac:dyDescent="0.45">
      <c r="A13" s="1" t="s">
        <v>106</v>
      </c>
      <c r="B13" s="1" t="s">
        <v>415</v>
      </c>
      <c r="C13" s="1" t="s">
        <v>307</v>
      </c>
      <c r="D13" s="1" t="s">
        <v>416</v>
      </c>
      <c r="E13" s="1" t="s">
        <v>417</v>
      </c>
    </row>
    <row r="14" spans="1:10" x14ac:dyDescent="0.45">
      <c r="A14" s="8" t="s">
        <v>418</v>
      </c>
      <c r="B14" s="22">
        <f>Assumptions!$B$73*$B$6</f>
        <v>760.50519999999995</v>
      </c>
      <c r="C14" s="22">
        <f>Assumptions!$B$73*$C$6</f>
        <v>894.71199999999999</v>
      </c>
      <c r="D14" s="22">
        <f>Assumptions!$B$73*$D$6</f>
        <v>1002.0774400000001</v>
      </c>
      <c r="E14" s="22">
        <f>Assumptions!$B$73*$E$6</f>
        <v>697.87536</v>
      </c>
    </row>
    <row r="15" spans="1:10" x14ac:dyDescent="0.45">
      <c r="A15" s="8" t="s">
        <v>419</v>
      </c>
      <c r="B15" s="22">
        <f>-Assumptions!$B$78</f>
        <v>-248</v>
      </c>
      <c r="C15" s="22">
        <f>-Assumptions!$B$78</f>
        <v>-248</v>
      </c>
      <c r="D15" s="22">
        <f>-Assumptions!$B$78</f>
        <v>-248</v>
      </c>
      <c r="E15" s="22">
        <f>-Assumptions!$B$78</f>
        <v>-248</v>
      </c>
    </row>
    <row r="16" spans="1:10" x14ac:dyDescent="0.45">
      <c r="A16" s="8" t="s">
        <v>420</v>
      </c>
      <c r="B16" s="22">
        <f>-Assumptions!$B$79*$B$8</f>
        <v>-386.4</v>
      </c>
      <c r="C16" s="22">
        <f>-Assumptions!$B$79*$C$8</f>
        <v>-336</v>
      </c>
      <c r="D16" s="22">
        <f>-Assumptions!$B$79*$D$8</f>
        <v>-302.40000000000003</v>
      </c>
      <c r="E16" s="22">
        <f>-Assumptions!$B$79*$E$8</f>
        <v>-420</v>
      </c>
    </row>
    <row r="17" spans="1:5" x14ac:dyDescent="0.45">
      <c r="A17" s="8" t="s">
        <v>421</v>
      </c>
      <c r="B17" s="22">
        <f>-Assumptions!$B$88*$B$10</f>
        <v>-29.190187199999997</v>
      </c>
      <c r="C17" s="22">
        <f>-Assumptions!$B$88*$C$10</f>
        <v>-24.325156</v>
      </c>
      <c r="D17" s="22">
        <f>-Assumptions!$B$88*$D$10</f>
        <v>-19.460124800000003</v>
      </c>
      <c r="E17" s="22">
        <f>-Assumptions!$B$88*$E$10</f>
        <v>-34.055218399999994</v>
      </c>
    </row>
    <row r="18" spans="1:5" x14ac:dyDescent="0.45">
      <c r="A18" s="8" t="s">
        <v>422</v>
      </c>
      <c r="B18" s="22">
        <f>-(Assumptions!$B$31+Assumptions!$B$81)</f>
        <v>-19.68</v>
      </c>
      <c r="C18" s="22">
        <f>-(Assumptions!$B$31+Assumptions!$B$81)</f>
        <v>-19.68</v>
      </c>
      <c r="D18" s="22">
        <f>-(Assumptions!$B$31+Assumptions!$B$81)</f>
        <v>-19.68</v>
      </c>
      <c r="E18" s="22">
        <f>-(Assumptions!$B$31+Assumptions!$B$81)</f>
        <v>-19.68</v>
      </c>
    </row>
    <row r="19" spans="1:5" x14ac:dyDescent="0.45">
      <c r="A19" s="8" t="s">
        <v>423</v>
      </c>
      <c r="B19" s="22">
        <f>-Assumptions!$B$73*$B$6*Assumptions!$B$35/100*Assumptions!$B$36/100*$B$9*3</f>
        <v>-154.97194712999999</v>
      </c>
      <c r="C19" s="22">
        <f>-Assumptions!$B$73*$C$6*Assumptions!$B$35/100*Assumptions!$B$36/100*$C$9*3</f>
        <v>-165.74539800000002</v>
      </c>
      <c r="D19" s="22">
        <f>-Assumptions!$B$73*$D$6*Assumptions!$B$35/100*Assumptions!$B$36/100*$D$9*3</f>
        <v>-167.07136118400001</v>
      </c>
      <c r="E19" s="22">
        <f>-Assumptions!$B$73*$E$6*Assumptions!$B$35/100*Assumptions!$B$36/100*$E$9*3</f>
        <v>-161.60176304999999</v>
      </c>
    </row>
    <row r="20" spans="1:5" x14ac:dyDescent="0.45">
      <c r="A20" s="58" t="s">
        <v>147</v>
      </c>
      <c r="B20" s="59">
        <f>$B$14+$B$15+$B$16+$B$17+$B$18+$B$19</f>
        <v>-77.736934330000025</v>
      </c>
      <c r="C20" s="59">
        <f>$C$14+$C$15+$C$16+$C$17+$C$18+$C$19</f>
        <v>100.96144599999997</v>
      </c>
      <c r="D20" s="59">
        <f>$D$14+$D$15+$D$16+$D$17+$D$18+$D$19</f>
        <v>245.46595401600007</v>
      </c>
      <c r="E20" s="59">
        <f>$E$14+$E$15+$E$16+$E$17+$E$18+$E$19</f>
        <v>-185.46162145</v>
      </c>
    </row>
    <row r="21" spans="1:5" x14ac:dyDescent="0.45">
      <c r="A21" s="16" t="s">
        <v>149</v>
      </c>
      <c r="B21" s="20">
        <f>$B$20/$B$14</f>
        <v>-0.10221749217493849</v>
      </c>
      <c r="C21" s="20">
        <f>$C$20/$C$14</f>
        <v>0.11284239621241245</v>
      </c>
      <c r="D21" s="20">
        <f>$D$20/$D$14</f>
        <v>0.24495707039966894</v>
      </c>
      <c r="E21" s="20">
        <f>$E$20/$E$14</f>
        <v>-0.26575178331271071</v>
      </c>
    </row>
    <row r="22" spans="1:5" x14ac:dyDescent="0.45">
      <c r="A22" s="8" t="s">
        <v>424</v>
      </c>
      <c r="B22" s="44">
        <f>IF($B$19=0,0,($B$20/3.5)/(-$B$19/3))</f>
        <v>-0.42995948125532774</v>
      </c>
      <c r="C22" s="44">
        <f>IF($C$19=0,0,($C$20/3.5)/(-$C$19/3))</f>
        <v>0.52211635031769776</v>
      </c>
      <c r="D22" s="44">
        <f>IF($D$19=0,0,($D$20/3.5)/(-$D$19/3))</f>
        <v>1.2593384507405383</v>
      </c>
      <c r="E22" s="44">
        <f>IF($E$19=0,0,($E$20/3.5)/(-$E$19/3))</f>
        <v>-0.98369659525815434</v>
      </c>
    </row>
    <row r="23" spans="1:5" x14ac:dyDescent="0.45">
      <c r="A23" s="8" t="s">
        <v>425</v>
      </c>
      <c r="B23" s="45" t="str">
        <f>IF($B$21&gt;=0.2,"CLEAR","BLOCKED")</f>
        <v>BLOCKED</v>
      </c>
      <c r="C23" s="45" t="str">
        <f>IF($C$21&gt;=0.2,"CLEAR","BLOCKED")</f>
        <v>BLOCKED</v>
      </c>
      <c r="D23" s="45" t="str">
        <f>IF($D$21&gt;=0.2,"CLEAR","BLOCKED")</f>
        <v>CLEAR</v>
      </c>
      <c r="E23" s="45" t="str">
        <f>IF($E$21&gt;=0.2,"CLEAR","BLOCKED")</f>
        <v>BLOCKED</v>
      </c>
    </row>
  </sheetData>
  <mergeCells count="3">
    <mergeCell ref="A1:J1"/>
    <mergeCell ref="A4:G4"/>
    <mergeCell ref="A2:J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EF4444"/>
  </sheetPr>
  <dimension ref="A1:J13"/>
  <sheetViews>
    <sheetView workbookViewId="0"/>
  </sheetViews>
  <sheetFormatPr defaultRowHeight="14.25" x14ac:dyDescent="0.45"/>
  <cols>
    <col min="1" max="1" width="42" customWidth="1"/>
    <col min="2" max="3" width="13" customWidth="1"/>
    <col min="4" max="4" width="14" customWidth="1"/>
    <col min="5" max="5" width="22" customWidth="1"/>
    <col min="6" max="6" width="21" customWidth="1"/>
    <col min="7" max="7" width="28" customWidth="1"/>
    <col min="8" max="8" width="42" customWidth="1"/>
    <col min="9" max="9" width="16" customWidth="1"/>
    <col min="10" max="10" width="13" customWidth="1"/>
  </cols>
  <sheetData>
    <row r="1" spans="1:10" ht="30" customHeight="1" x14ac:dyDescent="0.45">
      <c r="A1" s="70" t="s">
        <v>426</v>
      </c>
      <c r="B1" s="71"/>
      <c r="C1" s="71"/>
      <c r="D1" s="71"/>
      <c r="E1" s="71"/>
      <c r="F1" s="71"/>
      <c r="G1" s="71"/>
      <c r="H1" s="71"/>
      <c r="I1" s="71"/>
      <c r="J1" s="71"/>
    </row>
    <row r="2" spans="1:10" x14ac:dyDescent="0.45">
      <c r="A2" s="73" t="s">
        <v>427</v>
      </c>
      <c r="B2" s="71"/>
      <c r="C2" s="71"/>
      <c r="D2" s="71"/>
      <c r="E2" s="71"/>
      <c r="F2" s="71"/>
      <c r="G2" s="71"/>
      <c r="H2" s="71"/>
      <c r="I2" s="71"/>
      <c r="J2" s="71"/>
    </row>
    <row r="4" spans="1:10" ht="28.05" customHeight="1" x14ac:dyDescent="0.45">
      <c r="A4" s="60" t="s">
        <v>428</v>
      </c>
      <c r="B4" s="60" t="s">
        <v>313</v>
      </c>
      <c r="C4" s="60" t="s">
        <v>429</v>
      </c>
      <c r="D4" s="60" t="s">
        <v>430</v>
      </c>
      <c r="E4" s="60" t="s">
        <v>431</v>
      </c>
      <c r="F4" s="60" t="s">
        <v>432</v>
      </c>
      <c r="G4" s="60" t="s">
        <v>433</v>
      </c>
      <c r="H4" s="60" t="s">
        <v>434</v>
      </c>
      <c r="I4" s="60" t="s">
        <v>435</v>
      </c>
    </row>
    <row r="5" spans="1:10" x14ac:dyDescent="0.45">
      <c r="A5" s="8" t="s">
        <v>436</v>
      </c>
      <c r="B5" s="2" t="s">
        <v>331</v>
      </c>
      <c r="C5" s="61" t="s">
        <v>437</v>
      </c>
      <c r="D5" s="43">
        <v>0.15</v>
      </c>
      <c r="E5" s="22">
        <v>25</v>
      </c>
      <c r="F5" s="6">
        <f>$D$5*$E$5</f>
        <v>3.75</v>
      </c>
      <c r="G5" s="22">
        <v>50</v>
      </c>
      <c r="H5" s="2" t="s">
        <v>438</v>
      </c>
      <c r="I5" s="62" t="s">
        <v>439</v>
      </c>
    </row>
    <row r="6" spans="1:10" x14ac:dyDescent="0.45">
      <c r="A6" s="8" t="s">
        <v>440</v>
      </c>
      <c r="B6" s="2" t="s">
        <v>331</v>
      </c>
      <c r="C6" s="63" t="s">
        <v>441</v>
      </c>
      <c r="D6" s="43">
        <v>0.25</v>
      </c>
      <c r="E6" s="22">
        <v>15</v>
      </c>
      <c r="F6" s="6">
        <f>$D$6*$E$6</f>
        <v>3.75</v>
      </c>
      <c r="G6" s="22">
        <v>80</v>
      </c>
      <c r="H6" s="2" t="s">
        <v>442</v>
      </c>
      <c r="I6" s="62" t="s">
        <v>439</v>
      </c>
    </row>
    <row r="7" spans="1:10" x14ac:dyDescent="0.45">
      <c r="A7" s="8" t="s">
        <v>443</v>
      </c>
      <c r="B7" s="2" t="s">
        <v>344</v>
      </c>
      <c r="C7" s="61" t="s">
        <v>437</v>
      </c>
      <c r="D7" s="43">
        <v>0.2</v>
      </c>
      <c r="E7" s="22">
        <v>40</v>
      </c>
      <c r="F7" s="6">
        <f>$D$7*$E$7</f>
        <v>8</v>
      </c>
      <c r="G7" s="22">
        <v>120</v>
      </c>
      <c r="H7" s="2" t="s">
        <v>444</v>
      </c>
      <c r="I7" s="62" t="s">
        <v>441</v>
      </c>
    </row>
    <row r="8" spans="1:10" x14ac:dyDescent="0.45">
      <c r="A8" s="8" t="s">
        <v>445</v>
      </c>
      <c r="B8" s="2" t="s">
        <v>352</v>
      </c>
      <c r="C8" s="63" t="s">
        <v>441</v>
      </c>
      <c r="D8" s="43">
        <v>0.3</v>
      </c>
      <c r="E8" s="22">
        <v>12</v>
      </c>
      <c r="F8" s="6">
        <f>$D$8*$E$8</f>
        <v>3.5999999999999996</v>
      </c>
      <c r="G8" s="22">
        <v>45</v>
      </c>
      <c r="H8" s="2" t="s">
        <v>446</v>
      </c>
      <c r="I8" s="62" t="s">
        <v>439</v>
      </c>
    </row>
    <row r="9" spans="1:10" x14ac:dyDescent="0.45">
      <c r="A9" s="8" t="s">
        <v>447</v>
      </c>
      <c r="B9" s="2" t="s">
        <v>352</v>
      </c>
      <c r="C9" s="64" t="s">
        <v>439</v>
      </c>
      <c r="D9" s="43">
        <v>0.2</v>
      </c>
      <c r="E9" s="22">
        <v>8</v>
      </c>
      <c r="F9" s="6">
        <f>$D$9*$E$9</f>
        <v>1.6</v>
      </c>
      <c r="G9" s="22">
        <v>30</v>
      </c>
      <c r="H9" s="2" t="s">
        <v>448</v>
      </c>
      <c r="I9" s="62" t="s">
        <v>439</v>
      </c>
    </row>
    <row r="10" spans="1:10" x14ac:dyDescent="0.45">
      <c r="A10" s="8" t="s">
        <v>449</v>
      </c>
      <c r="B10" s="2" t="s">
        <v>352</v>
      </c>
      <c r="C10" s="63" t="s">
        <v>441</v>
      </c>
      <c r="D10" s="43">
        <v>0.25</v>
      </c>
      <c r="E10" s="22">
        <v>30</v>
      </c>
      <c r="F10" s="6">
        <f>$D$10*$E$10</f>
        <v>7.5</v>
      </c>
      <c r="G10" s="22">
        <v>0</v>
      </c>
      <c r="H10" s="2" t="s">
        <v>450</v>
      </c>
      <c r="I10" s="62" t="s">
        <v>441</v>
      </c>
    </row>
    <row r="11" spans="1:10" x14ac:dyDescent="0.45">
      <c r="A11" s="8" t="s">
        <v>451</v>
      </c>
      <c r="B11" s="2" t="s">
        <v>452</v>
      </c>
      <c r="C11" s="63" t="s">
        <v>441</v>
      </c>
      <c r="D11" s="43">
        <v>0.2</v>
      </c>
      <c r="E11" s="22">
        <v>18</v>
      </c>
      <c r="F11" s="6">
        <f>$D$11*$E$11</f>
        <v>3.6</v>
      </c>
      <c r="G11" s="22">
        <v>0</v>
      </c>
      <c r="H11" s="2" t="s">
        <v>453</v>
      </c>
      <c r="I11" s="62" t="s">
        <v>439</v>
      </c>
    </row>
    <row r="12" spans="1:10" x14ac:dyDescent="0.45">
      <c r="A12" s="16" t="s">
        <v>454</v>
      </c>
      <c r="B12" s="65"/>
      <c r="C12" s="65"/>
      <c r="D12" s="65"/>
      <c r="E12" s="46">
        <f>SUM($E$5:$E$11)</f>
        <v>148</v>
      </c>
      <c r="F12" s="19">
        <f>SUM($F$5:$F$11)</f>
        <v>31.800000000000004</v>
      </c>
      <c r="G12" s="46">
        <f>SUM($G$5:$G$11)</f>
        <v>325</v>
      </c>
      <c r="H12" s="65"/>
      <c r="I12" s="65"/>
    </row>
    <row r="13" spans="1:10" x14ac:dyDescent="0.45">
      <c r="A13" s="8" t="s">
        <v>455</v>
      </c>
      <c r="B13" s="66">
        <f>$G$12/100/Assumptions!$B$73</f>
        <v>3.6324537951877255E-3</v>
      </c>
    </row>
  </sheetData>
  <mergeCells count="2">
    <mergeCell ref="A1:J1"/>
    <mergeCell ref="A2:J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C3002F"/>
  </sheetPr>
  <dimension ref="A1:J24"/>
  <sheetViews>
    <sheetView workbookViewId="0"/>
  </sheetViews>
  <sheetFormatPr defaultRowHeight="14.25" x14ac:dyDescent="0.45"/>
  <cols>
    <col min="1" max="1" width="42" customWidth="1"/>
    <col min="2" max="2" width="19" customWidth="1"/>
    <col min="3" max="3" width="24" customWidth="1"/>
    <col min="4" max="4" width="17" customWidth="1"/>
    <col min="5" max="5" width="25" customWidth="1"/>
    <col min="6" max="6" width="20" customWidth="1"/>
    <col min="7" max="10" width="13" customWidth="1"/>
  </cols>
  <sheetData>
    <row r="1" spans="1:10" ht="30" customHeight="1" x14ac:dyDescent="0.45">
      <c r="A1" s="70" t="s">
        <v>456</v>
      </c>
      <c r="B1" s="71"/>
      <c r="C1" s="71"/>
      <c r="D1" s="71"/>
      <c r="E1" s="71"/>
      <c r="F1" s="71"/>
      <c r="G1" s="71"/>
      <c r="H1" s="71"/>
      <c r="I1" s="71"/>
      <c r="J1" s="71"/>
    </row>
    <row r="2" spans="1:10" x14ac:dyDescent="0.45">
      <c r="A2" s="73" t="s">
        <v>457</v>
      </c>
      <c r="B2" s="71"/>
      <c r="C2" s="71"/>
      <c r="D2" s="71"/>
      <c r="E2" s="71"/>
      <c r="F2" s="71"/>
      <c r="G2" s="71"/>
      <c r="H2" s="71"/>
      <c r="I2" s="71"/>
      <c r="J2" s="71"/>
    </row>
    <row r="4" spans="1:10" ht="28.05" customHeight="1" x14ac:dyDescent="0.45">
      <c r="A4" s="1" t="s">
        <v>458</v>
      </c>
      <c r="B4" s="1" t="s">
        <v>459</v>
      </c>
      <c r="C4" s="1" t="s">
        <v>460</v>
      </c>
      <c r="D4" s="1" t="s">
        <v>183</v>
      </c>
      <c r="E4" s="1" t="s">
        <v>461</v>
      </c>
    </row>
    <row r="5" spans="1:10" x14ac:dyDescent="0.45">
      <c r="A5" s="8" t="s">
        <v>462</v>
      </c>
      <c r="B5" s="2" t="str">
        <f>Assumptions!$B$40&amp;"%"</f>
        <v>1.5%</v>
      </c>
      <c r="C5" s="2" t="s">
        <v>463</v>
      </c>
      <c r="D5" s="6">
        <f>Assumptions!$B$73*Assumptions!$B$40/100</f>
        <v>13.420679999999999</v>
      </c>
      <c r="E5" s="2" t="s">
        <v>464</v>
      </c>
    </row>
    <row r="6" spans="1:10" x14ac:dyDescent="0.45">
      <c r="A6" s="8" t="s">
        <v>465</v>
      </c>
      <c r="B6" s="2" t="str">
        <f>Assumptions!$B$41&amp;"%"</f>
        <v>0.8%</v>
      </c>
      <c r="C6" s="2" t="s">
        <v>466</v>
      </c>
      <c r="D6" s="6">
        <f>Assumptions!$B$73*Assumptions!$B$41/100</f>
        <v>7.1576960000000005</v>
      </c>
      <c r="E6" s="2" t="s">
        <v>467</v>
      </c>
    </row>
    <row r="7" spans="1:10" x14ac:dyDescent="0.45">
      <c r="A7" s="8" t="s">
        <v>219</v>
      </c>
      <c r="B7" s="2" t="str">
        <f>Assumptions!$B$42&amp;" L/mo"</f>
        <v>3 L/mo</v>
      </c>
      <c r="C7" s="2" t="s">
        <v>468</v>
      </c>
      <c r="D7" s="6">
        <f>Assumptions!$B$42*42/100</f>
        <v>1.26</v>
      </c>
      <c r="E7" s="2" t="s">
        <v>469</v>
      </c>
    </row>
    <row r="8" spans="1:10" x14ac:dyDescent="0.45">
      <c r="A8" s="8" t="s">
        <v>470</v>
      </c>
      <c r="B8" s="2" t="s">
        <v>221</v>
      </c>
      <c r="C8" s="2" t="s">
        <v>471</v>
      </c>
      <c r="D8" s="6">
        <f>Assumptions!$B$43/100</f>
        <v>0.25</v>
      </c>
      <c r="E8" s="2" t="s">
        <v>472</v>
      </c>
    </row>
    <row r="9" spans="1:10" x14ac:dyDescent="0.45">
      <c r="A9" s="8" t="s">
        <v>139</v>
      </c>
      <c r="B9" s="2" t="str">
        <f>Assumptions!$B$44&amp;"%"</f>
        <v>0.25%</v>
      </c>
      <c r="C9" s="2" t="s">
        <v>473</v>
      </c>
      <c r="D9" s="6">
        <f>Assumptions!$B$73*Assumptions!$B$44/100</f>
        <v>2.23678</v>
      </c>
      <c r="E9" s="2" t="s">
        <v>474</v>
      </c>
    </row>
    <row r="10" spans="1:10" x14ac:dyDescent="0.45">
      <c r="A10" s="67" t="s">
        <v>475</v>
      </c>
      <c r="B10" s="68"/>
      <c r="C10" s="68"/>
      <c r="D10" s="69">
        <f>SUM($D$5:$D$9)</f>
        <v>24.325156</v>
      </c>
      <c r="E10" s="68"/>
    </row>
    <row r="11" spans="1:10" x14ac:dyDescent="0.45">
      <c r="A11" s="8" t="s">
        <v>476</v>
      </c>
      <c r="D11" s="66">
        <f>$D$10/Assumptions!$B$73</f>
        <v>2.7187693917148759E-2</v>
      </c>
    </row>
    <row r="12" spans="1:10" x14ac:dyDescent="0.45">
      <c r="A12" s="8" t="s">
        <v>477</v>
      </c>
      <c r="D12" s="66">
        <f>$D$10/Assumptions!$B$92</f>
        <v>9.1205593509253918E-2</v>
      </c>
    </row>
    <row r="15" spans="1:10" ht="16.899999999999999" x14ac:dyDescent="0.5">
      <c r="A15" s="21" t="s">
        <v>478</v>
      </c>
    </row>
    <row r="16" spans="1:10" ht="28.05" customHeight="1" x14ac:dyDescent="0.45">
      <c r="A16" s="1" t="s">
        <v>479</v>
      </c>
      <c r="B16" s="1" t="s">
        <v>480</v>
      </c>
      <c r="C16" s="1" t="s">
        <v>182</v>
      </c>
      <c r="D16" s="1" t="s">
        <v>481</v>
      </c>
      <c r="E16" s="1" t="s">
        <v>482</v>
      </c>
      <c r="F16" s="1" t="s">
        <v>483</v>
      </c>
      <c r="G16" s="1" t="s">
        <v>484</v>
      </c>
    </row>
    <row r="17" spans="1:7" x14ac:dyDescent="0.45">
      <c r="A17" s="8" t="s">
        <v>485</v>
      </c>
      <c r="B17" s="15">
        <v>0</v>
      </c>
      <c r="C17" s="3">
        <f>ROUND($B$17*Assumptions!$B$74,0)</f>
        <v>0</v>
      </c>
      <c r="D17" s="6">
        <f>$C$17*Assumptions!$B$76*Assumptions!$B$40/100</f>
        <v>0</v>
      </c>
      <c r="E17" s="6">
        <f>$C$17*Assumptions!$B$76*Assumptions!$B$41/100</f>
        <v>0</v>
      </c>
      <c r="F17" s="6">
        <f>2*Assumptions!$B$42/100</f>
        <v>0.06</v>
      </c>
      <c r="G17" s="6">
        <f>$D$17+$E$17+$F$17</f>
        <v>0.06</v>
      </c>
    </row>
    <row r="18" spans="1:7" x14ac:dyDescent="0.45">
      <c r="A18" s="8" t="s">
        <v>486</v>
      </c>
      <c r="B18" s="15">
        <v>0</v>
      </c>
      <c r="C18" s="3">
        <f>ROUND($B$18*Assumptions!$B$74,0)</f>
        <v>0</v>
      </c>
      <c r="D18" s="6">
        <f>$C$18*Assumptions!$B$76*Assumptions!$B$40/100</f>
        <v>0</v>
      </c>
      <c r="E18" s="6">
        <f>$C$18*Assumptions!$B$76*Assumptions!$B$41/100</f>
        <v>0</v>
      </c>
      <c r="F18" s="6">
        <f>2*Assumptions!$B$42/100</f>
        <v>0.06</v>
      </c>
      <c r="G18" s="6">
        <f>$D$18+$E$18+$F$18</f>
        <v>0.06</v>
      </c>
    </row>
    <row r="19" spans="1:7" x14ac:dyDescent="0.45">
      <c r="A19" s="8" t="s">
        <v>487</v>
      </c>
      <c r="B19" s="15">
        <v>0.15</v>
      </c>
      <c r="C19" s="3">
        <f>ROUND($B$19*Assumptions!$B$74,0)</f>
        <v>81</v>
      </c>
      <c r="D19" s="6">
        <f>$C$19*Assumptions!$B$76*Assumptions!$B$40/100</f>
        <v>2.0056735793357934</v>
      </c>
      <c r="E19" s="6">
        <f>$C$19*Assumptions!$B$76*Assumptions!$B$41/100</f>
        <v>1.0696925756457565</v>
      </c>
      <c r="F19" s="6">
        <f>1*Assumptions!$B$42/100</f>
        <v>0.03</v>
      </c>
      <c r="G19" s="6">
        <f>$D$19+$E$19+$F$19</f>
        <v>3.1053661549815499</v>
      </c>
    </row>
    <row r="20" spans="1:7" x14ac:dyDescent="0.45">
      <c r="A20" s="8" t="s">
        <v>488</v>
      </c>
      <c r="B20" s="15">
        <v>0.27</v>
      </c>
      <c r="C20" s="3">
        <f>ROUND($B$20*Assumptions!$B$74,0)</f>
        <v>146</v>
      </c>
      <c r="D20" s="6">
        <f>$C$20*Assumptions!$B$76*Assumptions!$B$40/100</f>
        <v>3.6151647232472324</v>
      </c>
      <c r="E20" s="6">
        <f>$C$20*Assumptions!$B$76*Assumptions!$B$41/100</f>
        <v>1.9280878523985239</v>
      </c>
      <c r="F20" s="6">
        <f>7*Assumptions!$B$42/100</f>
        <v>0.21</v>
      </c>
      <c r="G20" s="6">
        <f>$D$20+$E$20+$F$20</f>
        <v>5.7532525756457558</v>
      </c>
    </row>
    <row r="21" spans="1:7" x14ac:dyDescent="0.45">
      <c r="A21" s="8" t="s">
        <v>489</v>
      </c>
      <c r="B21" s="15">
        <v>0.31</v>
      </c>
      <c r="C21" s="3">
        <f>ROUND($B$21*Assumptions!$B$74,0)</f>
        <v>168</v>
      </c>
      <c r="D21" s="6">
        <f>$C$21*Assumptions!$B$76*Assumptions!$B$40/100</f>
        <v>4.159915571955719</v>
      </c>
      <c r="E21" s="6">
        <f>$C$21*Assumptions!$B$76*Assumptions!$B$41/100</f>
        <v>2.2186216383763839</v>
      </c>
      <c r="F21" s="6">
        <f>12*Assumptions!$B$42/100</f>
        <v>0.36</v>
      </c>
      <c r="G21" s="6">
        <f>$D$21+$E$21+$F$21</f>
        <v>6.7385372103321037</v>
      </c>
    </row>
    <row r="22" spans="1:7" x14ac:dyDescent="0.45">
      <c r="A22" s="8" t="s">
        <v>490</v>
      </c>
      <c r="B22" s="15">
        <v>0.20499999999999999</v>
      </c>
      <c r="C22" s="3">
        <f>ROUND($B$22*Assumptions!$B$74,0)</f>
        <v>111</v>
      </c>
      <c r="D22" s="6">
        <f>$C$22*Assumptions!$B$76*Assumptions!$B$40/100</f>
        <v>2.7485156457564575</v>
      </c>
      <c r="E22" s="6">
        <f>$C$22*Assumptions!$B$76*Assumptions!$B$41/100</f>
        <v>1.4658750110701106</v>
      </c>
      <c r="F22" s="6">
        <f>12*Assumptions!$B$42/100</f>
        <v>0.36</v>
      </c>
      <c r="G22" s="6">
        <f>$D$22+$E$22+$F$22</f>
        <v>4.5743906568265684</v>
      </c>
    </row>
    <row r="23" spans="1:7" x14ac:dyDescent="0.45">
      <c r="A23" s="8" t="s">
        <v>491</v>
      </c>
      <c r="B23" s="15">
        <v>6.5000000000000002E-2</v>
      </c>
      <c r="C23" s="3">
        <f>ROUND($B$23*Assumptions!$B$74,0)</f>
        <v>35</v>
      </c>
      <c r="D23" s="6">
        <f>$C$23*Assumptions!$B$76*Assumptions!$B$40/100</f>
        <v>0.86664907749077491</v>
      </c>
      <c r="E23" s="6">
        <f>$C$23*Assumptions!$B$76*Assumptions!$B$41/100</f>
        <v>0.46221284132841334</v>
      </c>
      <c r="F23" s="6">
        <f>6*Assumptions!$B$42/100</f>
        <v>0.18</v>
      </c>
      <c r="G23" s="6">
        <f>$D$23+$E$23+$F$23</f>
        <v>1.5088619188191881</v>
      </c>
    </row>
    <row r="24" spans="1:7" x14ac:dyDescent="0.45">
      <c r="A24" s="16" t="s">
        <v>280</v>
      </c>
      <c r="B24" s="20">
        <f>SUM($B$17:$B$23)</f>
        <v>1</v>
      </c>
      <c r="C24" s="18">
        <f>SUM($C$17:$C$23)</f>
        <v>541</v>
      </c>
      <c r="D24" s="19">
        <f>SUM($D$17:$D$23)</f>
        <v>13.395918597785979</v>
      </c>
      <c r="E24" s="19">
        <f>SUM($E$17:$E$23)</f>
        <v>7.1444899188191888</v>
      </c>
      <c r="F24" s="19">
        <f>SUM($F$17:$F$23)</f>
        <v>1.26</v>
      </c>
      <c r="G24" s="19">
        <f>SUM($G$17:$G$23)</f>
        <v>21.800408516605167</v>
      </c>
    </row>
  </sheetData>
  <mergeCells count="2">
    <mergeCell ref="A1:J1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Assumptions</vt:lpstr>
      <vt:lpstr>Revenue Waterfall</vt:lpstr>
      <vt:lpstr>Cost Structure &amp; PnL</vt:lpstr>
      <vt:lpstr>Cash Flow Projection</vt:lpstr>
      <vt:lpstr>IRR &amp; DSCR Analysis</vt:lpstr>
      <vt:lpstr>Stage-Gate Budget</vt:lpstr>
      <vt:lpstr>CAC &amp; Marketing Analysis</vt:lpstr>
      <vt:lpstr>Sensitivity Analysis</vt:lpstr>
      <vt:lpstr>Risk Mitigation</vt:lpstr>
      <vt:lpstr>Anarock Fee Structure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Meghana Satyan</cp:lastModifiedBy>
  <dcterms:created xsi:type="dcterms:W3CDTF">2026-06-02T07:43:17Z</dcterms:created>
  <dcterms:modified xsi:type="dcterms:W3CDTF">2026-06-02T07:45:36Z</dcterms:modified>
</cp:coreProperties>
</file>